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E5F0284EFC26883C5B502455E99778B4605AEF00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Q&amp;A Bank" sheetId="1" r:id="rId1"/>
    <sheet name="Category Index" sheetId="2" r:id="rId2"/>
  </sheets>
  <definedNames>
    <definedName name="_xlnm._FilterDatabase" localSheetId="0" hidden="1">'Q&amp;A Bank'!$A$1:$F$234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2" l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<sst xmlns="http://schemas.openxmlformats.org/spreadsheetml/2006/main" count="977" uniqueCount="664">
  <si>
    <t>ID</t>
  </si>
  <si>
    <t>Category</t>
  </si>
  <si>
    <t>Question</t>
  </si>
  <si>
    <t>Answer (voice-ready)</t>
  </si>
  <si>
    <t>Source Section(s)</t>
  </si>
  <si>
    <t>Answer word count</t>
  </si>
  <si>
    <t>Basic Info &amp; Dimensions</t>
  </si>
  <si>
    <t>How tall is the seat on my F77?</t>
  </si>
  <si>
    <t>796 millimetres.</t>
  </si>
  <si>
    <t>Technical Data Sheet - Dimensions (p.13)</t>
  </si>
  <si>
    <t>What's the wheelbase?</t>
  </si>
  <si>
    <t>1340 millimetres.</t>
  </si>
  <si>
    <t>How much does the bike weigh?</t>
  </si>
  <si>
    <t>Kerb weight is 197 kilos for the Mach2, and 207 for the Mach2 Recon.</t>
  </si>
  <si>
    <t>What's the ground clearance?</t>
  </si>
  <si>
    <t>160 millimetres.</t>
  </si>
  <si>
    <t>How much weight can the bike carry?</t>
  </si>
  <si>
    <t>It's designed for a 150 kilo payload. That's 75 kilos of rider plus 75 of pillion.</t>
  </si>
  <si>
    <t>Payload (p.25); Technical Data Sheet (p.13)</t>
  </si>
  <si>
    <t>What tyre pressure should I run?</t>
  </si>
  <si>
    <t>30 psi front and 32 psi rear. Always set them when the tyres are cold.</t>
  </si>
  <si>
    <t>Wheels and tyres - Tyre pressure (p.61); Technical Data Sheet (p.13)</t>
  </si>
  <si>
    <t>What size tyres does the F77 use?</t>
  </si>
  <si>
    <t>110/70 ZR17 at the front and 150/60 ZR17 at the rear.</t>
  </si>
  <si>
    <t>Technical Data Sheet - Tyres (p.13)</t>
  </si>
  <si>
    <t>What's the top speed?</t>
  </si>
  <si>
    <t>155 kilometres per hour, factory tested.</t>
  </si>
  <si>
    <t>Technical Data Sheet - Performance (p.13)</t>
  </si>
  <si>
    <t>How quick is zero to sixty?</t>
  </si>
  <si>
    <t>2.9 seconds on the Mach2, 2.8 on the Recon. Zero to hundred takes 7.8 and 7.7 seconds.</t>
  </si>
  <si>
    <t>How much power and torque does it make?</t>
  </si>
  <si>
    <t>Mach2 makes 27 kilowatts and 90 newton metres. The Recon makes 30 kilowatts and 100 newton metres.</t>
  </si>
  <si>
    <t>What kind of motor is fitted?</t>
  </si>
  <si>
    <t>A permanent magnet AC motor, with ride-by-wire throttle control.</t>
  </si>
  <si>
    <t>Technical Data Sheet - Drivetrain (p.13)</t>
  </si>
  <si>
    <t>What frame does the F77 use?</t>
  </si>
  <si>
    <t>A steel trellis frame with an aluminium bulkhead.</t>
  </si>
  <si>
    <t>Technical Data Sheet - Mechanical (p.13)</t>
  </si>
  <si>
    <t>Tell me about the suspension.</t>
  </si>
  <si>
    <t>41 millimetre upside-down forks with preload adjustment. The rear is a preload adjustable monoshock.</t>
  </si>
  <si>
    <t>Technical Data Sheet - Suspension (p.13)</t>
  </si>
  <si>
    <t>What brakes does it have?</t>
  </si>
  <si>
    <t>A 320 millimetre front disc with a fixed radial four piston caliper. The rear is a 230 millimetre disc with a single piston floating caliper.</t>
  </si>
  <si>
    <t>Technical Data Sheet - Brake System (p.13)</t>
  </si>
  <si>
    <t>What are the two F77 variants?</t>
  </si>
  <si>
    <t>Mach2 and Mach2 Recon. The Recon gets the bigger battery and slightly more power.</t>
  </si>
  <si>
    <t>Technical Data Sheet (p.13)</t>
  </si>
  <si>
    <t>Where do I find my VIN?</t>
  </si>
  <si>
    <t>Engraved on the right side of the steering headtube, and printed on the manufacturer label on the left. It's 17 characters.</t>
  </si>
  <si>
    <t>Motorcycle Identification (p.7)</t>
  </si>
  <si>
    <t>Where's the motor serial number?</t>
  </si>
  <si>
    <t>On the motor casing. You can see it from the rear of the bike, near the rear suspension.</t>
  </si>
  <si>
    <t>What connectivity does the bike have?</t>
  </si>
  <si>
    <t>LTE with a built-in eSIM, WiFi, and Bluetooth 5 with Low Energy. It also has GPS and GLONASS positioning.</t>
  </si>
  <si>
    <t>Technical Data Sheet - Connectivity (p.13)</t>
  </si>
  <si>
    <t>Which fluids does the F77 use?</t>
  </si>
  <si>
    <t>DOT 4 brake fluid and SAE 20W-40 transmission oil. Chain care uses Motul C1 and C2.</t>
  </si>
  <si>
    <t>Technical Data Sheet - Recommended Fluids (p.13)</t>
  </si>
  <si>
    <t>What labels are on the bike?</t>
  </si>
  <si>
    <t>Battery, DC fast charging, rider warning, drive chain slack and tyre pressure. They're on the left side.</t>
  </si>
  <si>
    <t>Important Labels (p.12)</t>
  </si>
  <si>
    <t>Where's the fuse box and toolkit?</t>
  </si>
  <si>
    <t>Both are under the pillion seat, sitting next to each other.</t>
  </si>
  <si>
    <t>User Tool Kit (p.25); Fuse Replacement (p.59)</t>
  </si>
  <si>
    <t>Ride Modes &amp; Performance</t>
  </si>
  <si>
    <t>What ride modes do I get?</t>
  </si>
  <si>
    <t>Three: Glide, Combat and Ballistic. Hover is a fourth, but it only comes on by itself.</t>
  </si>
  <si>
    <t>Ride Modes (p.38-40)</t>
  </si>
  <si>
    <t>What's Glide mode for?</t>
  </si>
  <si>
    <t>Maximum range. It's available from 100 percent charge all the way down to 5 percent.</t>
  </si>
  <si>
    <t>Ride Modes - Glide (p.38)</t>
  </si>
  <si>
    <t>When should I use Combat mode?</t>
  </si>
  <si>
    <t>It's the balanced mode, tuned for city riding. Available from 100 percent down to 20 percent charge.</t>
  </si>
  <si>
    <t>Ride Modes - Combat (p.39)</t>
  </si>
  <si>
    <t>What does Ballistic mode do?</t>
  </si>
  <si>
    <t>Peak acceleration and performance. You need at least 30 percent charge for it.</t>
  </si>
  <si>
    <t>Ride Modes - Ballistic (p.39)</t>
  </si>
  <si>
    <t>Why can't I select Ballistic mode?</t>
  </si>
  <si>
    <t>Either your charge is at or below 30 percent, or the battery is too hot. Ballistic disables itself above 50 degrees.</t>
  </si>
  <si>
    <t>Ride Modes - Ballistic (p.39); System Notifications (p.29)</t>
  </si>
  <si>
    <t>What charge do I need to use all three modes?</t>
  </si>
  <si>
    <t>Keep it above 30 percent. Below that you start losing modes.</t>
  </si>
  <si>
    <t>Before Starting your Motorcycle (p.16)</t>
  </si>
  <si>
    <t>What is Hover mode?</t>
  </si>
  <si>
    <t>An emergency reserve that activates automatically at 5 percent charge. It limits you to 25 kilometres per hour so you can reach a charger.</t>
  </si>
  <si>
    <t>Ride Modes - Hover mode (p.40)</t>
  </si>
  <si>
    <t>How far can I go in Hover mode?</t>
  </si>
  <si>
    <t>Roughly 5 to 10 kilometres, depending on conditions. Range prediction isn't shown in Hover.</t>
  </si>
  <si>
    <t>Can I select Hover mode myself?</t>
  </si>
  <si>
    <t>No. It isn't on the mode switch and only triggers on its own at 5 percent.</t>
  </si>
  <si>
    <t>How do I change ride modes?</t>
  </si>
  <si>
    <t>Tap the change mode switch on the right switchgear. It cycles Glide, Combat, Ballistic.</t>
  </si>
  <si>
    <t>RH Switchgear (p.20)</t>
  </si>
  <si>
    <t>What is Park Assist?</t>
  </si>
  <si>
    <t>A walking-pace mode for tight spaces, with forward and reverse. Hold any brake and hold the park assist input.</t>
  </si>
  <si>
    <t>Park Assist (p.40)</t>
  </si>
  <si>
    <t>How fast does Park Assist go?</t>
  </si>
  <si>
    <t>5 kilometres per hour forward, and 3 in reverse.</t>
  </si>
  <si>
    <t>How do I switch direction in Park Assist?</t>
  </si>
  <si>
    <t>Press to switch between forward and reverse. The throttle and the bike both have to be at zero first.</t>
  </si>
  <si>
    <t>How do I exit Park Assist?</t>
  </si>
  <si>
    <t>Long press to exit.</t>
  </si>
  <si>
    <t>Why won't Park Assist engage?</t>
  </si>
  <si>
    <t>It only works while the motor disarm switch is disengaged. Bring the switch to neutral first.</t>
  </si>
  <si>
    <t>RH Switchgear (p.20); Powering ON your F77 (p.24)</t>
  </si>
  <si>
    <t>How does the throttle work?</t>
  </si>
  <si>
    <t>Twist it counter-clockwise to move off. It's fully electronic, ride-by-wire, and returns to closed on its own.</t>
  </si>
  <si>
    <t>Throttle Control (p.22)</t>
  </si>
  <si>
    <t>What happens when I close the throttle?</t>
  </si>
  <si>
    <t>Regenerative braking kicks in and you'll feel some resistance. Set regen to level zero if you want to coast freely.</t>
  </si>
  <si>
    <t>Range &amp; Efficiency</t>
  </si>
  <si>
    <t>What's the claimed range?</t>
  </si>
  <si>
    <t>211 kilometres IDC on the Mach2, and 323 on the Recon.</t>
  </si>
  <si>
    <t>Technical Data Sheet - Range Estimates (p.13)</t>
  </si>
  <si>
    <t>What's the WMTC range for the Recon?</t>
  </si>
  <si>
    <t>231 kilometres in the city cycle, and 143 on the highway cycle.</t>
  </si>
  <si>
    <t>What affects my range the most?</t>
  </si>
  <si>
    <t>Speed, acceleration, stop-start riding, air temperature and elevation. Tyre pressure and payload matter too.</t>
  </si>
  <si>
    <t>Motorcycle Range (p.42)</t>
  </si>
  <si>
    <t>How do I get the most range out of a charge?</t>
  </si>
  <si>
    <t>Gentle acceleration, follow speed limits and stay tucked in. Keep tyre pressures right, chain slack correct and regen active.</t>
  </si>
  <si>
    <t>Why is my range different from the brochure figure?</t>
  </si>
  <si>
    <t>Range figures come from standardised test cycles that vary by country. Real range follows your riding habits.</t>
  </si>
  <si>
    <t>What's the watt-hour per kilometre reading?</t>
  </si>
  <si>
    <t>That's your live efficiency. The display also shows a recommended figure to aim for.</t>
  </si>
  <si>
    <t>Home Screen: Parallax (p.27)</t>
  </si>
  <si>
    <t>How should I ride the bike when it's new?</t>
  </si>
  <si>
    <t>Start conservatively and learn how range and performance interact. Build up intensity gradually.</t>
  </si>
  <si>
    <t>Battery &amp; Charging</t>
  </si>
  <si>
    <t>How big is the battery?</t>
  </si>
  <si>
    <t>7.1 kilowatt-hours on the Mach2, the SRB7 pack. The Recon gets the 10.3 kilowatt-hour SRB10.</t>
  </si>
  <si>
    <t>Technical Data Sheet - Battery System (p.13)</t>
  </si>
  <si>
    <t>How long does standard charging take?</t>
  </si>
  <si>
    <t>20 to 80 percent in about 3 hours on the Mach2, and 5 hours on the Recon.</t>
  </si>
  <si>
    <t>Technical Data Sheet - Charging (p.13)</t>
  </si>
  <si>
    <t>How fast is boost or Supernova charging?</t>
  </si>
  <si>
    <t>20 to 80 percent in 1.5 hours on the Mach2, and 2.5 hours on the Recon.</t>
  </si>
  <si>
    <t>How quick is Supernova Plus charging?</t>
  </si>
  <si>
    <t>45 minutes on the Mach2, and 60 minutes on the Recon, for 20 to 80 percent.</t>
  </si>
  <si>
    <t>What charging connector does the F77 use?</t>
  </si>
  <si>
    <t>IEC 62196-6, for DC fast charging from compatible external chargers.</t>
  </si>
  <si>
    <t>Technical Data Sheet (p.13); Charging (p.47)</t>
  </si>
  <si>
    <t>How do I plug in to charge?</t>
  </si>
  <si>
    <t>Key off and removed, open the charging lid, then click the gun into the port. Power the charger on and the Ultraviolette logo lamp lights up.</t>
  </si>
  <si>
    <t>Charging (p.47)</t>
  </si>
  <si>
    <t>How do I know charging has actually started?</t>
  </si>
  <si>
    <t>The charging indicator on the cluster blinks continuously. If it isn't blinking, contact Ultraviolette support.</t>
  </si>
  <si>
    <t>Charging (p.48); Tell-Tale (p.15)</t>
  </si>
  <si>
    <t>How do I know when charging is finished?</t>
  </si>
  <si>
    <t>The charging indicator stops blinking and glows steady. The system then shuts down on its own.</t>
  </si>
  <si>
    <t>Tell-Tale (p.15); Charging (p.48)</t>
  </si>
  <si>
    <t>How do I unplug after charging?</t>
  </si>
  <si>
    <t>Press the latch, pull the gun out, and close the charging lid. Also unplug the PRCD from the wall socket.</t>
  </si>
  <si>
    <t>Charging (p.48); Battery Life (p.47)</t>
  </si>
  <si>
    <t>Can I charge in the rain?</t>
  </si>
  <si>
    <t>No. Avoid charging in rain or when the charging port is wet.</t>
  </si>
  <si>
    <t>Charging (p.48)</t>
  </si>
  <si>
    <t>Where should I charge the bike?</t>
  </si>
  <si>
    <t>Somewhere well ventilated, at least 20 metres from anything combustible.</t>
  </si>
  <si>
    <t>What temperature range does the battery work in?</t>
  </si>
  <si>
    <t>Zero to 55 degrees Celsius. Outside that the management system shuts down while the bike is stationary.</t>
  </si>
  <si>
    <t>Battery Pack (p.47)</t>
  </si>
  <si>
    <t>Why won't it charge on a hot day?</t>
  </si>
  <si>
    <t>Charging stops above 50 degrees. Let the pack cool and try again.</t>
  </si>
  <si>
    <t>Why is charging slower than usual?</t>
  </si>
  <si>
    <t>Charging time varies with battery temperature and charger type. The charger also derates if the PRCD gets hot.</t>
  </si>
  <si>
    <t>What charge limit should I set?</t>
  </si>
  <si>
    <t>Ultraviolette recommends 90 percent, so regenerative braking keeps working. You can pick 80, 90 or 100 in the app.</t>
  </si>
  <si>
    <t>Charging Limits (p.48)</t>
  </si>
  <si>
    <t>Where do I change the charge limit?</t>
  </si>
  <si>
    <t>In the Ultraviolette app, under Controls then Energy.</t>
  </si>
  <si>
    <t>Charging Limits (p.48); Mobile App - Controls Section (p.81)</t>
  </si>
  <si>
    <t>How do I make the battery last longer?</t>
  </si>
  <si>
    <t>Don't leave it sitting at a high state of charge. Unplug once it's full, and follow the charging guidelines.</t>
  </si>
  <si>
    <t>Battery Life (p.47); Before Starting your Motorcycle (p.17)</t>
  </si>
  <si>
    <t>What is the PRCD?</t>
  </si>
  <si>
    <t>The portable residual current device on your charging setup. Unplug it from the wall once charging is done.</t>
  </si>
  <si>
    <t>Battery Life (p.47); Glossary (p.96)</t>
  </si>
  <si>
    <t>How is the battery protected?</t>
  </si>
  <si>
    <t>An all-aluminium IP67 enclosure with a patented five-level safety system. That's mechanical, thermal, electrical, electronic and software protection.</t>
  </si>
  <si>
    <t>What if the bike or charger gets submerged?</t>
  </si>
  <si>
    <t>Do not use or touch either one. There's a risk of electric shock, so contact Ultraviolette support immediately.</t>
  </si>
  <si>
    <t>Can I connect accessories to the 12 volt battery?</t>
  </si>
  <si>
    <t>No. Connecting anything directly to it can affect how the bike and the ABS operate.</t>
  </si>
  <si>
    <t>Electric Motorcycle Precautions (p.5)</t>
  </si>
  <si>
    <t>Regenerative Braking</t>
  </si>
  <si>
    <t>How does regenerative braking work?</t>
  </si>
  <si>
    <t>As you decelerate, the motor turns some of that energy back into charge for the pack. It engages when the throttle is fully closed.</t>
  </si>
  <si>
    <t>Regenerative Braking (p.34); Throttle Control (p.22)</t>
  </si>
  <si>
    <t>How many regen levels do I have?</t>
  </si>
  <si>
    <t>Nine levels, shown as R1 through R9, plus off.</t>
  </si>
  <si>
    <t>Regenerative Braking (p.34); Home Screen: Parallax (p.27)</t>
  </si>
  <si>
    <t>How do I change regen level while riding?</t>
  </si>
  <si>
    <t>Use the left and right navigation keys on the home screen. Left reduces it, right increases it.</t>
  </si>
  <si>
    <t>Regenerative Braking (p.34); LH Switchgear (p.19)</t>
  </si>
  <si>
    <t>How do I coast without regen?</t>
  </si>
  <si>
    <t>Set regen to level zero. Then closing the throttle won't slow you down.</t>
  </si>
  <si>
    <t>Why is regen unavailable right now?</t>
  </si>
  <si>
    <t>Either the battery is above 90 percent, or it's colder than 10 degrees. Both block regen.</t>
  </si>
  <si>
    <t>Regenerative Braking (p.34)</t>
  </si>
  <si>
    <t>What's the yellow regen warning light telling me?</t>
  </si>
  <si>
    <t>That regen isn't available. Usually it means your charge is above 90 percent.</t>
  </si>
  <si>
    <t>Tell-Tale (p.15)</t>
  </si>
  <si>
    <t>Where do I see my regen level on the display?</t>
  </si>
  <si>
    <t>On the home screen as level bars, with the value shown as off or R1 to R9.</t>
  </si>
  <si>
    <t>Safety &amp; Rider Protection</t>
  </si>
  <si>
    <t>What safety gear does Ultraviolette expect me to wear?</t>
  </si>
  <si>
    <t>A regionally approved helmet, goggles, suitable boots and any other protective gear. On every ride.</t>
  </si>
  <si>
    <t>Owner's Responsibilities (p.4)</t>
  </si>
  <si>
    <t>Can I modify the bike?</t>
  </si>
  <si>
    <t>No. Hardware and software modifications are prohibited and treated as illegal. Only Ultraviolette-approved accessories are allowed.</t>
  </si>
  <si>
    <t>Introduction (p.2); Before Starting your Motorcycle (p.17)</t>
  </si>
  <si>
    <t>What should I know about the high voltage system?</t>
  </si>
  <si>
    <t>Never tamper with it, and watch for the coloured insulation marking those areas. There are no user-serviceable parts inside.</t>
  </si>
  <si>
    <t>What do I do after an accident with the electrics?</t>
  </si>
  <si>
    <t>Don't touch any high-voltage wiring, connectors or the components attached to them.</t>
  </si>
  <si>
    <t>What extinguisher should I use on a bike fire?</t>
  </si>
  <si>
    <t>A Class D powder type first, to put out visible flames. Only then use a water-based extinguisher.</t>
  </si>
  <si>
    <t>Will the bike ride with the side stand down?</t>
  </si>
  <si>
    <t>No. The side stand motor kill feature blocks the motor whenever it's deployed.</t>
  </si>
  <si>
    <t>Powering ON your F77 (p.24)</t>
  </si>
  <si>
    <t>How should I set my mirrors?</t>
  </si>
  <si>
    <t>So you can see a small portion of your own shoulders in each one. Remember objects are closer than they appear.</t>
  </si>
  <si>
    <t>Mirror Adjustment (p.21)</t>
  </si>
  <si>
    <t>How do I physically adjust the mirrors?</t>
  </si>
  <si>
    <t>Pop the caps with a flat head screwdriver. The 8mm spanner sets the vertical axis, and the 8mm Allen key sets the horizontal.</t>
  </si>
  <si>
    <t>What does the ambient light sensor do?</t>
  </si>
  <si>
    <t>It detects bright light and puts the cluster into daytime mode. The headlight switches to daytime running lamp.</t>
  </si>
  <si>
    <t>Does the F77 have radar?</t>
  </si>
  <si>
    <t>No. Radar is the name of one of the two console display themes, alongside Parallax.</t>
  </si>
  <si>
    <t>Home Screen: Radar (p.28); Settings (p.32)</t>
  </si>
  <si>
    <t>Rider Aids &amp; Settings</t>
  </si>
  <si>
    <t>How does ABS work on this bike?</t>
  </si>
  <si>
    <t>It stops the wheels locking under emergency braking, so you keep stability. You can switch between mono and dual-channel modes.</t>
  </si>
  <si>
    <t>Menu - ABS (p.33)</t>
  </si>
  <si>
    <t>What traction control settings are there?</t>
  </si>
  <si>
    <t>T1 Sport with the least intervention, T2 Street for everyday, and T3 Rain for slippery conditions.</t>
  </si>
  <si>
    <t>Traction Control (p.34)</t>
  </si>
  <si>
    <t>Which traction control mode should I use in the wet?</t>
  </si>
  <si>
    <t>T3, the Rain setting. It intervenes the most.</t>
  </si>
  <si>
    <t>Does traction control make me safe on any surface?</t>
  </si>
  <si>
    <t>No. It reduces rear wheel spin but doesn't replace safe riding. Match your pace to conditions.</t>
  </si>
  <si>
    <t>What does Hill Hold do?</t>
  </si>
  <si>
    <t>It keeps the bike stationary without you holding the brake. Toggle it on or off in the menu.</t>
  </si>
  <si>
    <t>Hill Hold (p.35)</t>
  </si>
  <si>
    <t>When does Hill Hold let go?</t>
  </si>
  <si>
    <t>When you apply throttle, tap a brake, or deploy the side stand. It also releases after 5 seconds if there's no incline.</t>
  </si>
  <si>
    <t>How long does Hill Hold stay engaged?</t>
  </si>
  <si>
    <t>Up to 5 minutes. To re-engage, apply the brakes, then slightly throttle and release.</t>
  </si>
  <si>
    <t>Can I use the menu while riding?</t>
  </si>
  <si>
    <t>No, menu set-up is disabled while riding. Regen level is the one thing you can change on the move.</t>
  </si>
  <si>
    <t>LH Switchgear (p.19); Regenerative Braking (p.34)</t>
  </si>
  <si>
    <t>What display themes can I choose?</t>
  </si>
  <si>
    <t>Parallax or Radar. You can also pick dark or light mode and set brightness and sound.</t>
  </si>
  <si>
    <t>Settings (p.32)</t>
  </si>
  <si>
    <t>Can I change the time zone?</t>
  </si>
  <si>
    <t>Yes. Go to Settings, then Time Zone, and pick yours.</t>
  </si>
  <si>
    <t>Time Zone (p.32)</t>
  </si>
  <si>
    <t>What's on the left switchgear?</t>
  </si>
  <si>
    <t>High and low beam with pass, hazard lights, the console control, turn signals and the horn.</t>
  </si>
  <si>
    <t>LH Switchgear (p.19)</t>
  </si>
  <si>
    <t>What's on the right switchgear?</t>
  </si>
  <si>
    <t>A three-position switch: motor disarm on the left, neutral in the middle, and motor start or change mode on the right.</t>
  </si>
  <si>
    <t>What does the motor disarm switch actually cut?</t>
  </si>
  <si>
    <t>Only current to the drive motor. It doesn't disconnect the rest of the electrical system.</t>
  </si>
  <si>
    <t>How do I get back to the home screen?</t>
  </si>
  <si>
    <t>Hold the back button on the console control.</t>
  </si>
  <si>
    <t>LH Switchgear - Console controls (p.19)</t>
  </si>
  <si>
    <t>How do I reset a trip meter?</t>
  </si>
  <si>
    <t>Open Trips in the menu and long press to reset. You can switch between trip distances there too.</t>
  </si>
  <si>
    <t>Menu - Trips (p.31)</t>
  </si>
  <si>
    <t>What's in the My F77 menu?</t>
  </si>
  <si>
    <t>Your IMEI and VIN, plus the bike's vital stats. It's the quick reference for its identity.</t>
  </si>
  <si>
    <t>Menu - My F77 (p.30)</t>
  </si>
  <si>
    <t>How does navigation work?</t>
  </si>
  <si>
    <t>Plan the route in the Ultraviolette app and it appears on the bike, with live updates and directions.</t>
  </si>
  <si>
    <t>Menu - Navigate (p.31)</t>
  </si>
  <si>
    <t>Can I keep my documents on the bike?</t>
  </si>
  <si>
    <t>Yes. Upload licence, registration and insurance in the app, and they sync to the F77 display.</t>
  </si>
  <si>
    <t>Documents (p.35); Settings &gt; Documents (p.84)</t>
  </si>
  <si>
    <t>How do I pair my phone?</t>
  </si>
  <si>
    <t>Through Bluetooth, from Menu then Bluetooth. That gives you push notifications and update info.</t>
  </si>
  <si>
    <t>Bluetooth (p.36)</t>
  </si>
  <si>
    <t>Starting, Stopping &amp; Security</t>
  </si>
  <si>
    <t>How do I start the bike?</t>
  </si>
  <si>
    <t>Turn the key clockwise and wait about 12 seconds while it boots. Then hold a brake and long press the motor start switch.</t>
  </si>
  <si>
    <t>How soon after switching on can I arm the motor?</t>
  </si>
  <si>
    <t>About 2 seconds after the key goes on.</t>
  </si>
  <si>
    <t>Why won't the motor arm?</t>
  </si>
  <si>
    <t>Check the side stand is up and the throttle is fully closed. You also need a brake applied while you hold the switch.</t>
  </si>
  <si>
    <t>Powering ON your F77 (p.24); System Notifications (p.29)</t>
  </si>
  <si>
    <t>How do I shut the bike down properly?</t>
  </si>
  <si>
    <t>Come to a complete stop, press the motor stop switch, then turn the key anticlockwise. Take the key with you.</t>
  </si>
  <si>
    <t>Powering OFF your F77 (p.24)</t>
  </si>
  <si>
    <t>Can I turn the key off while riding?</t>
  </si>
  <si>
    <t>It isn't recommended. Bring the bike to a halt first.</t>
  </si>
  <si>
    <t>How do I lock the handlebars?</t>
  </si>
  <si>
    <t>Turn the bar fully left with the key off. Push the key in, rotate anticlockwise to lock, then remove it.</t>
  </si>
  <si>
    <t>Handle Lock (p.25)</t>
  </si>
  <si>
    <t>How do I park the bike safely?</t>
  </si>
  <si>
    <t>Come to a steady halt and push the side stand down with your left foot. Always park on level, firm ground.</t>
  </si>
  <si>
    <t>Parking/Sidestand (p.25)</t>
  </si>
  <si>
    <t>What is Deep Sleep mode?</t>
  </si>
  <si>
    <t>It shuts down non-essential systems for long layoffs. It can preserve charge for up to three months.</t>
  </si>
  <si>
    <t>Deep Sleep (p.41)</t>
  </si>
  <si>
    <t>How do I turn Deep Sleep on?</t>
  </si>
  <si>
    <t>Settings, then Deep Sleep. Disabling all Violette AI features also puts it into deep sleep.</t>
  </si>
  <si>
    <t>How do I wake the bike from Deep Sleep?</t>
  </si>
  <si>
    <t>Turn the key on. If it's unresponsive, connect the charger.</t>
  </si>
  <si>
    <t>Does Deep Sleep switch itself on?</t>
  </si>
  <si>
    <t>Yes, automatically once charge drops below 23 percent while parked.</t>
  </si>
  <si>
    <t>What's the best charge level to activate Deep Sleep at?</t>
  </si>
  <si>
    <t>Between 50 and 60 percent, for battery longevity.</t>
  </si>
  <si>
    <t>What is Lockdown mode?</t>
  </si>
  <si>
    <t>It immobilises the bike once it comes to a halt. You trigger it from the app with a four-digit code.</t>
  </si>
  <si>
    <t>Lockdown (p.41); Assist &gt; Lockdown (p.89)</t>
  </si>
  <si>
    <t>Can I lock the bike down while it's moving?</t>
  </si>
  <si>
    <t>No. Lockdown only activates after the bike is stationary and in network coverage.</t>
  </si>
  <si>
    <t>Assist &gt; Lockdown (p.89)</t>
  </si>
  <si>
    <t>How do I unlock after a Lockdown?</t>
  </si>
  <si>
    <t>Initiate unlock in the app and enter your four-digit code.</t>
  </si>
  <si>
    <t>Assist &gt; Lockdown (p.90)</t>
  </si>
  <si>
    <t>Smart Tech &amp; App</t>
  </si>
  <si>
    <t>What is Violette AI?</t>
  </si>
  <si>
    <t>An optional add-on package of rider assistance features. It doesn't make the bike autonomous, and you're still the rider.</t>
  </si>
  <si>
    <t>Violette AI (p.44)</t>
  </si>
  <si>
    <t>What happens if I crash?</t>
  </si>
  <si>
    <t>Crash Alert notifies your app, disarms the motor and sounds the horn. It shows your emergency contact for bystanders to dial.</t>
  </si>
  <si>
    <t>Crash Alert (p.44)</t>
  </si>
  <si>
    <t>Does Crash Alert call emergency services?</t>
  </si>
  <si>
    <t>No. It only raises an alert. It's there to help you or a bystander respond.</t>
  </si>
  <si>
    <t>What is the Anti-Collision Warning System?</t>
  </si>
  <si>
    <t>Beacon lighting to make you more visible. The tail light flashes under regen, and the indicators mimic aircraft light patterns when armed but stationary.</t>
  </si>
  <si>
    <t>Anti-Collision Warning System (p.45)</t>
  </si>
  <si>
    <t>Does the bike stay visible when parked?</t>
  </si>
  <si>
    <t>Yes, with the beacon alerts on, the tail lamps flash every 30 seconds.</t>
  </si>
  <si>
    <t>How do I turn the beacon alerts on or off?</t>
  </si>
  <si>
    <t>In the Ultraviolette app, under the A.C.W.S. section inside Violette.</t>
  </si>
  <si>
    <t>Anti-Collision Warning System (p.45); Settings &gt; Violette (p.86)</t>
  </si>
  <si>
    <t>What is Delta Watch?</t>
  </si>
  <si>
    <t>Parked security monitoring. It notifies the app, flashes the lights and sounds the horn if someone tampers with the bike.</t>
  </si>
  <si>
    <t>Delta Watch (p.45)</t>
  </si>
  <si>
    <t>What alerts does Delta Watch give?</t>
  </si>
  <si>
    <t>Movement alert for minor movement, fall alert if it topples, and tow alert if it's moved without the key.</t>
  </si>
  <si>
    <t>How do I know Delta Watch is armed?</t>
  </si>
  <si>
    <t>The tail lights blink to show it's active. The alerts themselves only appear in the Ultraviolette app.</t>
  </si>
  <si>
    <t>What does Violette AI need to work?</t>
  </si>
  <si>
    <t>The bike, your phone and the app all have to be working and in network coverage.</t>
  </si>
  <si>
    <t>What can I control from the app?</t>
  </si>
  <si>
    <t>Hill hold, ABS, traction control and regen, plus the charging limit, trips and console theme.</t>
  </si>
  <si>
    <t>Mobile App - Controls Section (p.81)</t>
  </si>
  <si>
    <t>Can I find my bike from the app?</t>
  </si>
  <si>
    <t>Yes, there's a Find My F77 section on the app home screen.</t>
  </si>
  <si>
    <t>Mobile App - Home Screen (p.80)</t>
  </si>
  <si>
    <t>How do I update the bike's software?</t>
  </si>
  <si>
    <t>In the app, under Settings then Update. Don't restart the bike or unplug the charger until it finishes.</t>
  </si>
  <si>
    <t>Settings &gt; Update (p.87)</t>
  </si>
  <si>
    <t>Should I install software updates?</t>
  </si>
  <si>
    <t>Yes, promptly. It's listed as an owner responsibility for best performance and safety.</t>
  </si>
  <si>
    <t>Owner's Responsibilities (p.4); Before Starting your Motorcycle (p.17)</t>
  </si>
  <si>
    <t>What is Incognito ride mode?</t>
  </si>
  <si>
    <t>A privacy setting in the app that keeps a ride out of your normal statistics.</t>
  </si>
  <si>
    <t>Statistics Section (p.83); Settings Section (p.84)</t>
  </si>
  <si>
    <t>What's in the Diagnostics section of the app?</t>
  </si>
  <si>
    <t>Battery info, TPMS info, service info and scheduling a service.</t>
  </si>
  <si>
    <t>Diagnostics Section (p.82)</t>
  </si>
  <si>
    <t>What is TPMS and do I have it?</t>
  </si>
  <si>
    <t>Tyre pressure monitoring. It's only available bought as an Ultraviolette accessory, and must be fitted at a service centre.</t>
  </si>
  <si>
    <t>Tyre Pressure Monitoring System (p.37); Diagnostics Section (p.82)</t>
  </si>
  <si>
    <t>Can I trust the TPMS reading exactly?</t>
  </si>
  <si>
    <t>It's continuous but not real-time, and shifts with ambient conditions. Always check pressures cold before riding.</t>
  </si>
  <si>
    <t>Tyre Pressure Monitoring System (p.37)</t>
  </si>
  <si>
    <t>Where do I find roadside assistance?</t>
  </si>
  <si>
    <t>In the app's Assist section, alongside the user manual, FAQs, feedback and contact details.</t>
  </si>
  <si>
    <t>Assist Section (p.88)</t>
  </si>
  <si>
    <t>Warnings &amp; Tell-Tales</t>
  </si>
  <si>
    <t>What does the red warning light mean?</t>
  </si>
  <si>
    <t>A critical error in one of the bike's systems. Contact Ultraviolette support immediately.</t>
  </si>
  <si>
    <t>My ABS light is on and won't go out.</t>
  </si>
  <si>
    <t>It's normal from key-on until about 5 kilometres per hour. If it stays lit past that, there's an ABS fault.</t>
  </si>
  <si>
    <t>The traction control light is on. Is that a problem?</t>
  </si>
  <si>
    <t>A blink during activation is normal. Solid means traction control is off or faulty, so contact support.</t>
  </si>
  <si>
    <t>What should the tell-tales look like before I set off?</t>
  </si>
  <si>
    <t>The critical error light should go out once the bike is armed. ABS and traction control lights should clear above 5 kilometres per hour.</t>
  </si>
  <si>
    <t>What is the motor health indicator showing me?</t>
  </si>
  <si>
    <t>Whether the motor is armed, and its temperature. It changes state above 112 degrees and again above 120.</t>
  </si>
  <si>
    <t>What does Motor in Deration mean?</t>
  </si>
  <si>
    <t>The motor is past its temperature limit and cutting power. Park for 15 to 20 minutes to let it cool.</t>
  </si>
  <si>
    <t>System Notifications (p.29); Troubleshooting (p.76)</t>
  </si>
  <si>
    <t>The motor armed light won't come on.</t>
  </si>
  <si>
    <t>That points to an abnormality in the motor system. Contact Ultraviolette support.</t>
  </si>
  <si>
    <t>What does the yellow service light mean?</t>
  </si>
  <si>
    <t>The bike is running an over-the-air software update.</t>
  </si>
  <si>
    <t>What happens around 30 percent charge?</t>
  </si>
  <si>
    <t>Ballistic becomes unavailable and you're switched to Combat. You get an on-screen notification.</t>
  </si>
  <si>
    <t>System Notifications (p.29)</t>
  </si>
  <si>
    <t>What happens around 20 percent charge?</t>
  </si>
  <si>
    <t>The bike switches you to Glide mode.</t>
  </si>
  <si>
    <t>System Notifications (p.29); Ride Modes (p.39)</t>
  </si>
  <si>
    <t>When do I get the critically low battery warning?</t>
  </si>
  <si>
    <t>At 6 percent. It warns you that Hover mode starts at 5.</t>
  </si>
  <si>
    <t>What's the tyre pressure abnormal alert?</t>
  </si>
  <si>
    <t>TPMS has found a tyre outside its limits. It repeats every key cycle until you correct it.</t>
  </si>
  <si>
    <t>What is the OBD malfunction alert?</t>
  </si>
  <si>
    <t>It's the on-board diagnostics warning on the home screen. Have it checked if it appears.</t>
  </si>
  <si>
    <t>Home Screen: Parallax (p.27); Glossary (p.96)</t>
  </si>
  <si>
    <t>What's the difference between critical and informative alerts?</t>
  </si>
  <si>
    <t>Critical alerts need your attention now, like a side stand deployed or an ABS fault. Informative ones just tell you something changed, like regen becoming available.</t>
  </si>
  <si>
    <t>Maintenance &amp; Care</t>
  </si>
  <si>
    <t>What should I check before every ride?</t>
  </si>
  <si>
    <t>Charge, tell-tales, mirrors, throttle and kill switch. Plus lights, tyres, chain, brake fluid and brake operation.</t>
  </si>
  <si>
    <t>Before Starting your Motorcycle (p.16-17)</t>
  </si>
  <si>
    <t>What's the service schedule?</t>
  </si>
  <si>
    <t>First service at 1,000 kilometres or 30 days. Then every 5,000 kilometres, up to 50,000.</t>
  </si>
  <si>
    <t>Periodic Maintenance Schedule (p.50)</t>
  </si>
  <si>
    <t>Do I have to service at an authorised centre?</t>
  </si>
  <si>
    <t>Yes. Servicing at an Ultraviolette authorised centre is required for warranty eligibility.</t>
  </si>
  <si>
    <t>Periodic Maintenance and Services (p.51)</t>
  </si>
  <si>
    <t>How often does the chain need attention?</t>
  </si>
  <si>
    <t>Clean, lubricate and adjust every 500 kilometres. Sooner if it looks dry after long parking.</t>
  </si>
  <si>
    <t>Chain Cleaning and Lubrication (p.73); Troubleshooting (p.76)</t>
  </si>
  <si>
    <t>What chain slack should I set?</t>
  </si>
  <si>
    <t>40 millimetres, measured on the lower run midway between the sprockets.</t>
  </si>
  <si>
    <t>Drive Chain Slack Adjustment (p.71)</t>
  </si>
  <si>
    <t>How do I adjust the chain slack?</t>
  </si>
  <si>
    <t>Loosen the axle nut and lock nuts, then turn the adjuster bolts. Clockwise decreases slack, anticlockwise increases it.</t>
  </si>
  <si>
    <t>Drive Chain Slack Adjustment (p.71-72)</t>
  </si>
  <si>
    <t>What torque for the rear axle nut?</t>
  </si>
  <si>
    <t>95 newton metres.</t>
  </si>
  <si>
    <t>Drive Chain Slack Adjustment (p.72)</t>
  </si>
  <si>
    <t>Can I use a pressure washer on the chain?</t>
  </si>
  <si>
    <t>No. High pressure washers, solvents and steam cleaning damage the X-ring seals.</t>
  </si>
  <si>
    <t>Chain Cleaning and Lubrication (p.73)</t>
  </si>
  <si>
    <t>What chain lubricant should I use?</t>
  </si>
  <si>
    <t>Motul C1 and C2, and anything rated for X-ring chains. The wrong product ruins the seals.</t>
  </si>
  <si>
    <t>Technical Data Sheet (p.13); Chain Cleaning and Lubrication (p.73)</t>
  </si>
  <si>
    <t>How should I wash the bike?</t>
  </si>
  <si>
    <t>Soft cloth or sponge with mild automotive shampoo, and water pressure below 90 bar. Never use a high pressure system.</t>
  </si>
  <si>
    <t>Cleaning and Washing (p.52-53)</t>
  </si>
  <si>
    <t>Which parts should I keep water away from?</t>
  </si>
  <si>
    <t>The meter console, switches, main switch, speaker and charging port lid. Also the motor, lights, bearings and battery air vents.</t>
  </si>
  <si>
    <t>Cleaning and Washing (p.52)</t>
  </si>
  <si>
    <t>Anything to watch for right after washing?</t>
  </si>
  <si>
    <t>Braking is temporarily reduced. Apply the brakes several times before you ride, and expect longer stopping distances.</t>
  </si>
  <si>
    <t>Washing the motorcycle (p.53)</t>
  </si>
  <si>
    <t>Can I wash the bike straight after a ride?</t>
  </si>
  <si>
    <t>Let the battery and motor cool down first. Also keep the charging lid closed and the key removed.</t>
  </si>
  <si>
    <t>What brake fluid does the F77 take?</t>
  </si>
  <si>
    <t>DOT 4, from a sealed container.</t>
  </si>
  <si>
    <t>Brake Fluid Specification (p.68); Technical Data Sheet (p.13)</t>
  </si>
  <si>
    <t>When does brake fluid get replaced?</t>
  </si>
  <si>
    <t>First change at 12 months or 20,000 kilometres, whichever is earlier. Then every 24 months or 20,000 kilometres.</t>
  </si>
  <si>
    <t>Brake Fluid Specification (p.68)</t>
  </si>
  <si>
    <t>How do I check the brake fluid level?</t>
  </si>
  <si>
    <t>Look through the front reservoir sight glass with the reservoir parallel to the ground. The level must stay above the lower mark.</t>
  </si>
  <si>
    <t>Brake Fluid (p.68)</t>
  </si>
  <si>
    <t>How do I handle brake fluid safely?</t>
  </si>
  <si>
    <t>It's toxic and counts as special waste. Rinse spills with water repeatedly, and store it dry, cool and ventilated.</t>
  </si>
  <si>
    <t>Brake Pads Replacement (p.64)</t>
  </si>
  <si>
    <t>When do brake pads need replacing?</t>
  </si>
  <si>
    <t>When the wear indicator on the pad is no longer visible. Replace them before they're worn out completely.</t>
  </si>
  <si>
    <t>Brake Pads Replacement (p.64-65)</t>
  </si>
  <si>
    <t>What tools do I need for a brake pad change?</t>
  </si>
  <si>
    <t>A 3 millimetre drift pin, hammer, 6 millimetre hex key, T30 Torx, 300 millimetre drift punch, nose pliers and gloves.</t>
  </si>
  <si>
    <t>Brake Pads Replacement (p.63)</t>
  </si>
  <si>
    <t>What torque for the front brake caliper bolts?</t>
  </si>
  <si>
    <t>28 newton metres.</t>
  </si>
  <si>
    <t>Brake Pads Replacement (p.66)</t>
  </si>
  <si>
    <t>When do I replace the tyres?</t>
  </si>
  <si>
    <t>When tread depth at the centre reaches 1.0 millimetre, front or rear. Or as soon as a wear indicator touches the road.</t>
  </si>
  <si>
    <t>Tyre Tread (p.62); Tyre Wear Indicator (p.62)</t>
  </si>
  <si>
    <t>How do I check the wheels?</t>
  </si>
  <si>
    <t>Lift each wheel on a paddock stand and check for play and smooth rotation. Listen for abnormal noise.</t>
  </si>
  <si>
    <t>Wheels and tyres - Inspection (p.61)</t>
  </si>
  <si>
    <t>What suspension sag should I aim for?</t>
  </si>
  <si>
    <t>35 millimetres total at the front, and 15 at the rear.</t>
  </si>
  <si>
    <t>Suspension (p.69)</t>
  </si>
  <si>
    <t>How do I adjust the front fork preload?</t>
  </si>
  <si>
    <t>Remove the fork caps, fit the preload tool and turn slowly. Clockwise is stiffer, anticlockwise softer, and keep both forks equal.</t>
  </si>
  <si>
    <t>Front USD Fork (p.69)</t>
  </si>
  <si>
    <t>Which way stiffens the rear shock?</t>
  </si>
  <si>
    <t>Anticlockwise is stiffer and clockwise is softer. That's the opposite of the front fork.</t>
  </si>
  <si>
    <t>Rear Shock Absorber (p.70); Front USD Fork (p.69)</t>
  </si>
  <si>
    <t>How should I set rear preload for my weight?</t>
  </si>
  <si>
    <t>65 to 85 kilos is the factory 5 millimetre setting. 85 to 110 adds 5 millimetres, and above 110 kilos use maximum preload.</t>
  </si>
  <si>
    <t>Rear Shock Adjustment Guide (p.70)</t>
  </si>
  <si>
    <t>Can I service the rear shock myself?</t>
  </si>
  <si>
    <t>No. It's pressurised with nitrogen and could explode. Only an authorised service centre should replace or dispose of it.</t>
  </si>
  <si>
    <t>Rear Shock Absorber (p.70)</t>
  </si>
  <si>
    <t>What's in the toolkit and where is it?</t>
  </si>
  <si>
    <t>Under the pillion seat. A screwdriver, 8 to 10 millimetre spanner, 8, 5 and 4 millimetre Allen keys, and the preload adjuster.</t>
  </si>
  <si>
    <t>User Toolkit (p.54-55)</t>
  </si>
  <si>
    <t>How do I adjust the headlight beam?</t>
  </si>
  <si>
    <t>Park 5 metres from a wall and mark it at 0.75 metres. Sit on the bike with low beam on and set the top of the beam to that line.</t>
  </si>
  <si>
    <t>Headlight Beam Adjustment (p.56-57)</t>
  </si>
  <si>
    <t>Which way do I turn the headlight screw?</t>
  </si>
  <si>
    <t>Clockwise raises the beam, anticlockwise lowers it. You'll need to remove the fork back cover first.</t>
  </si>
  <si>
    <t>Headlight Beam Adjustment (p.57-58)</t>
  </si>
  <si>
    <t>Which fuses does the F77 have?</t>
  </si>
  <si>
    <t>A 15 amp ABS main, 10 amp ABS sub, 15 amp DC-DC output and a 5 amp VCU. There are two spares.</t>
  </si>
  <si>
    <t>Fuse Replacement (p.59)</t>
  </si>
  <si>
    <t>How do I get to the fuse box?</t>
  </si>
  <si>
    <t>Turn the key clockwise to unlock, lift off the pillion seat, then press the clips and open the fuse cover.</t>
  </si>
  <si>
    <t>Can I fit a bigger fuse if one keeps blowing?</t>
  </si>
  <si>
    <t>Never. Always use the same amperage, and if it keeps blowing, contact Ultraviolette service.</t>
  </si>
  <si>
    <t>Fuse Replacement (p.60)</t>
  </si>
  <si>
    <t>Should I test a fuse with a multimeter?</t>
  </si>
  <si>
    <t>No. It can damage electrical components and give false readings. Pull the fuse out and look at it.</t>
  </si>
  <si>
    <t>Why would a fuse blow?</t>
  </si>
  <si>
    <t>A wrongly rated fuse, faulty wiring causing a short, an overloaded system, or a faulty auxiliary battery.</t>
  </si>
  <si>
    <t>How do I dispose of the bike or its battery?</t>
  </si>
  <si>
    <t>Follow proper recycling and disposal procedures, especially for the battery. Your service centre can guide you.</t>
  </si>
  <si>
    <t>Before Starting your Motorcycle - Responsible Disposal (p.17)</t>
  </si>
  <si>
    <t>Storage &amp; Transport</t>
  </si>
  <si>
    <t>How should I store the bike for a long period?</t>
  </si>
  <si>
    <t>Indoors, cool and dry, out of direct sunlight. Keep it at 50 to 60 percent charge if it's over 30 days.</t>
  </si>
  <si>
    <t>Storage Guidelines (p.74)</t>
  </si>
  <si>
    <t>Do I need to do anything while it's stored?</t>
  </si>
  <si>
    <t>Switch it on for at least 30 minutes every 10 days to charge the auxiliary battery. Move it occasionally to avoid flat spots.</t>
  </si>
  <si>
    <t>Should I use Deep Sleep for storage?</t>
  </si>
  <si>
    <t>Yes, activate it if the bike won't be used for more than 10 days. It's strongly recommended past 30 days.</t>
  </si>
  <si>
    <t>Storage Guidelines (p.74); Deep Sleep (p.41)</t>
  </si>
  <si>
    <t>Can I leave it plugged in while stored?</t>
  </si>
  <si>
    <t>No. Leaving the charger connected during long parking harms both the charger and the pack.</t>
  </si>
  <si>
    <t>How do I prepare the bike for transport?</t>
  </si>
  <si>
    <t>Strap it securely, clean and lube the chain, and remove the 5 amp and 15 amp in-line fuses. Never strap it resting on the side stand.</t>
  </si>
  <si>
    <t>Transportation Guidelines (p.74)</t>
  </si>
  <si>
    <t>What should I do before a long trip?</t>
  </si>
  <si>
    <t>Get it serviced at an authorised centre and set tyre pressures. Check lights, horn and fasteners.</t>
  </si>
  <si>
    <t>Long Trip Precautions (p.5)</t>
  </si>
  <si>
    <t>What should I carry on a long ride?</t>
  </si>
  <si>
    <t>Toolkit, first-aid kit and the portable charger. A spare chain master link lock assembly and a puncture kit are recommended too.</t>
  </si>
  <si>
    <t>Troubleshooting</t>
  </si>
  <si>
    <t>My bike won't turn on at all. What do I check?</t>
  </si>
  <si>
    <t>The 5 amp fuse under the pillion seat, and the auxiliary battery voltage. It should read 12.6 volts key off, 14.2 volts key on.</t>
  </si>
  <si>
    <t>Troubleshooting (p.75)</t>
  </si>
  <si>
    <t>The aux battery is low. Can I revive it?</t>
  </si>
  <si>
    <t>If it's between about 10.5 and 12.6 volts, plug in the charger for one to two hours, then try starting. Below 10 volts it likely needs replacing.</t>
  </si>
  <si>
    <t>The motor won't arm. What's wrong?</t>
  </si>
  <si>
    <t>Usually the throttle isn't fully closed. Release it, then check the brake light comes on with each brake.</t>
  </si>
  <si>
    <t>The bike isn't charging. What should I try?</t>
  </si>
  <si>
    <t>Check the charger plug is locked into the socket, and test a different power supply. Check the PRCD connection too.</t>
  </si>
  <si>
    <t>Troubleshooting (p.76)</t>
  </si>
  <si>
    <t>I'm getting a high battery temperature warning.</t>
  </si>
  <si>
    <t>That's the pack rising above its permissible limit. Contact Ultraviolette support.</t>
  </si>
  <si>
    <t>My chain is noisy.</t>
  </si>
  <si>
    <t>It's either loose or dry. Set the slack to 40 millimetres, then clean and lubricate it.</t>
  </si>
  <si>
    <t>The brakes are squealing.</t>
  </si>
  <si>
    <t>Inspect the pads and replace them if worn. Dust between the pads can also cause it, so clean the caliper.</t>
  </si>
  <si>
    <t>The handlebar pulls to one side.</t>
  </si>
  <si>
    <t>Check tyre pressures are 30 front and 32 rear. Then make sure both fork preload settings are equal.</t>
  </si>
  <si>
    <t>My headlight visibility is poor.</t>
  </si>
  <si>
    <t>Set the tyre pressures correctly first, then adjust the headlight height.</t>
  </si>
  <si>
    <t>The mirrors look distorted or unclear.</t>
  </si>
  <si>
    <t>They need readjusting. Use the supplied toolkit and set them so you can see a little of your shoulders.</t>
  </si>
  <si>
    <t>Troubleshooting (p.76); Mirror Adjustment (p.21)</t>
  </si>
  <si>
    <t>I've had an accident. What should I check?</t>
  </si>
  <si>
    <t>Inspect all components and visible wiring for damage. If anything looks wrong, don't ride, and contact support.</t>
  </si>
  <si>
    <t>Emergencies (p.75)</t>
  </si>
  <si>
    <t>Should I try repairing the bike myself?</t>
  </si>
  <si>
    <t>No. You're strongly advised not to, and electrical work in particular must go to an authorised service centre.</t>
  </si>
  <si>
    <t>Troubleshooting (p.75); Electric Motorcycle Precautions (p.5)</t>
  </si>
  <si>
    <t>Who do I contact for support?</t>
  </si>
  <si>
    <t>Email support at ultraviolette dot com, or use the Assist section of the app. There's also an FAQ on the website.</t>
  </si>
  <si>
    <t>Customer Support and Contact Information (p.92)</t>
  </si>
  <si>
    <t>What details should I have ready for support?</t>
  </si>
  <si>
    <t>Your contact details, the VIN, date of purchase, and your dealer's name and location.</t>
  </si>
  <si>
    <t>Warranty &amp; Ownership</t>
  </si>
  <si>
    <t>What does the warranty cover and for how long?</t>
  </si>
  <si>
    <t>The SRB10 battery, motor and controller for 5 years or 100,000 kilometres. Lighting, console, control unit, harness and charger for 3 years or 30,000.</t>
  </si>
  <si>
    <t>Warranty Policy (p.93)</t>
  </si>
  <si>
    <t>Are the tyres and auxiliary battery covered?</t>
  </si>
  <si>
    <t>No. Those are warranted separately by their own manufacturers.</t>
  </si>
  <si>
    <t>When does my warranty period start?</t>
  </si>
  <si>
    <t>From the invoice date, provided you register the bike with the dealer within 30 days.</t>
  </si>
  <si>
    <t>What's excluded from the warranty?</t>
  </si>
  <si>
    <t>Misuse, accidents, neglect, theft and fire, plus natural disasters. Ordinary wear and tear and skipped service items are excluded too.</t>
  </si>
  <si>
    <t>Warranty Policy - Exclusions (p.93)</t>
  </si>
  <si>
    <t>What voids my warranty?</t>
  </si>
  <si>
    <t>Skipping scheduled service at authorised centres, unauthorised repairs, or non-genuine parts. Racing, rentals and commercial use also void it.</t>
  </si>
  <si>
    <t>Warranty Policy (p.94)</t>
  </si>
  <si>
    <t>Does modifying the bike affect my warranty?</t>
  </si>
  <si>
    <t>Yes. Any unapproved modification may void it and can compromise safety. Always consult an authorised centre first.</t>
  </si>
  <si>
    <t>Before Starting your Motorcycle - Modifications (p.17); Warranty Policy (p.94)</t>
  </si>
  <si>
    <t>I'm selling the bike. What about the warranty?</t>
  </si>
  <si>
    <t>Submit a warranty transfer request in writing or electronically. That lets Ultraviolette reach the new owner.</t>
  </si>
  <si>
    <t>Warranty Policy - Ownership transfer (p.95)</t>
  </si>
  <si>
    <t>What if I have a dispute with Ultraviolette?</t>
  </si>
  <si>
    <t>They encourage arbitration or mediation first. It's meant to be quicker and cheaper than litigation.</t>
  </si>
  <si>
    <t>Before Starting your Motorcycle - Dispute Resolution (p.17)</t>
  </si>
  <si>
    <t>Advanced / Cross-Topic</t>
  </si>
  <si>
    <t>I charged to 100 percent and now there's no engine braking. Why?</t>
  </si>
  <si>
    <t>Regen is blocked above 90 percent because the pack can't absorb more energy. Set a 90 percent charge limit in the app to avoid it.</t>
  </si>
  <si>
    <t>Regenerative Braking (p.34); Charging Limits (p.48); Tell-Tale (p.15)</t>
  </si>
  <si>
    <t>I'm setting off with 25 percent charge. What should I expect?</t>
  </si>
  <si>
    <t>Ballistic is already gone and you'll be in Combat. Around 20 percent it drops to Glide, and Hover caps you at 25 kilometres per hour from 5 percent.</t>
  </si>
  <si>
    <t>Ride Modes (p.38-40); System Notifications (p.29)</t>
  </si>
  <si>
    <t>It's a cold morning and regen feels weak.</t>
  </si>
  <si>
    <t>Regen is disabled below 10 degrees battery temperature. It returns as the pack warms up on the move.</t>
  </si>
  <si>
    <t>I've been riding hard in Ballistic and lost power.</t>
  </si>
  <si>
    <t>The motor is derating on temperature, and Ballistic also cuts out above 50 degrees battery temp. Park for 15 to 20 minutes.</t>
  </si>
  <si>
    <t>Ride Modes - Ballistic (p.39); Troubleshooting (p.76)</t>
  </si>
  <si>
    <t>Planning a track day. Anything I should know?</t>
  </si>
  <si>
    <t>Competitive events and time trials void the warranty. Ballistic also needs 30 percent charge and a cool battery to stay available.</t>
  </si>
  <si>
    <t>Warranty Policy (p.94-95); Ride Modes - Ballistic (p.39)</t>
  </si>
  <si>
    <t>How does tyre pressure affect more than just grip?</t>
  </si>
  <si>
    <t>It changes your range, your headlight aim and your steering feel. Low pressure is a common cause of the bar pulling to one side.</t>
  </si>
  <si>
    <t>Motorcycle Range (p.42); Troubleshooting (p.76); Wheels and tyres (p.61)</t>
  </si>
  <si>
    <t>Riding two-up. How should I set the bike up?</t>
  </si>
  <si>
    <t>Add rear preload for the combined weight and keep both fork preloads equal. Remember the payload limit is 150 kilos.</t>
  </si>
  <si>
    <t>Rear Shock Adjustment Guide (p.70); Front USD Fork (p.69); Payload (p.25)</t>
  </si>
  <si>
    <t>Riding in heavy rain. What should I change?</t>
  </si>
  <si>
    <t>Traction control on T3 Rain, and consider a lower regen level for smoother deceleration. Expect reduced grip and ride accordingly.</t>
  </si>
  <si>
    <t>Traction Control (p.34); Regenerative Braking (p.34)</t>
  </si>
  <si>
    <t>I'm parking at the airport for three weeks. What's the routine?</t>
  </si>
  <si>
    <t>Charge to 50 or 60 percent, activate Deep Sleep, and don't leave the charger plugged in. Delta Watch keeps an eye on it if you have Violette AI.</t>
  </si>
  <si>
    <t>Storage Guidelines (p.74); Deep Sleep (p.41); Delta Watch (p.45)</t>
  </si>
  <si>
    <t>Everything feels vague after a service. What do I check first?</t>
  </si>
  <si>
    <t>Tyre pressures, equal fork preload, and chain slack at 40 millimetres. Those three cover most handling complaints.</t>
  </si>
  <si>
    <t>Troubleshooting (p.76); Suspension (p.69); Drive Chain Slack Adjustment (p.71)</t>
  </si>
  <si>
    <t>How do I get the absolute maximum range on a long ride?</t>
  </si>
  <si>
    <t>Glide mode, high regen, gentle throttle and correct tyre pressures. Plan charging stops and stay tucked at speed.</t>
  </si>
  <si>
    <t>Motorcycle Range (p.42); Ride Modes (p.38); Regenerative Braking (p.34)</t>
  </si>
  <si>
    <t>Can I do my own electrical repairs?</t>
  </si>
  <si>
    <t>No. The high voltage system has no user-serviceable parts, and unauthorised work voids the warranty.</t>
  </si>
  <si>
    <t>Electric Motorcycle Precautions (p.5); Warranty Policy (p.94)</t>
  </si>
  <si>
    <t>Is there anything hot I should avoid after a ride?</t>
  </si>
  <si>
    <t>Let the battery and motor cool before washing. Brake components also get hot in use.</t>
  </si>
  <si>
    <t>How is this different from an ICE bike day to day?</t>
  </si>
  <si>
    <t>No fuel stops, but you plan charging instead, and closing the throttle brakes the bike. Chain, brakes and tyres still need the same care.</t>
  </si>
  <si>
    <t>Throttle Control (p.22); Motorcycle Range (p.42); Periodic Maintenance Schedule (p.50)</t>
  </si>
  <si>
    <t>What are the owner's core responsibilities?</t>
  </si>
  <si>
    <t>Routine care, sticking to the service schedule, and using only approved parts. Plus full safety gear and prompt software updates.</t>
  </si>
  <si>
    <t>Both my ABS and traction control lights came on together.</t>
  </si>
  <si>
    <t>That's the combined ABS and TC malfunction alert above 5 kilometres per hour. Ride cautiously and contact Ultraviolette support.</t>
  </si>
  <si>
    <t>System Notifications (p.29); Tell-Tale (p.15)</t>
  </si>
  <si>
    <t>Why did my bike enter Deep Sleep on its own?</t>
  </si>
  <si>
    <t>It does that automatically below 23 percent charge while parked. Turn the key on, or connect the charger if it's unresponsive.</t>
  </si>
  <si>
    <t>What's the full pre-long-trip checklist?</t>
  </si>
  <si>
    <t>Service it, set tyre pressures and lubricate the chain. Check fasteners, lights, horn, and pack the toolkit, first-aid kit, puncture kit and portable charger.</t>
  </si>
  <si>
    <t>Long Trip Precautions (p.5); Before Starting your Motorcycle (p.16-17)</t>
  </si>
  <si>
    <t>Ultraviolette F77 Mach2 — Voice Assistant Question Bank</t>
  </si>
  <si>
    <t>Source: F77 Mach2 V1 User Manual, UV/ASL&amp;S/M/OM-F77_IN, Rev. No. 01, dated 18/02/25 (99 pages).</t>
  </si>
  <si>
    <t>Answers are written to be spoken aloud: 2-3 short phrases, no symbols or tables. Page references point to the printed page numbers in the manual.</t>
  </si>
  <si>
    <t>Note: where a spec differs by variant, the answer names both the Mach2 and Mach2 Recon figures. Violette AI and TPMS are optional extras, not standard fitment.</t>
  </si>
  <si>
    <t>Questions</t>
  </si>
  <si>
    <t>First row</t>
  </si>
  <si>
    <t>What it covers</t>
  </si>
  <si>
    <t>Specs, weights, dimensions, tyres, fluids, identification and connectivity.</t>
  </si>
  <si>
    <t>Glide, Combat, Ballistic, Hover, Park Assist and throttle behaviour.</t>
  </si>
  <si>
    <t>IDC and WMTC range figures, and how to ride for more of it.</t>
  </si>
  <si>
    <t>Pack sizes, all charging speeds, the charging procedure and charge limits.</t>
  </si>
  <si>
    <t>The nine regen levels, how to adjust them, and when regen is blocked.</t>
  </si>
  <si>
    <t>Gear, high-voltage precautions, fire response, mirrors and the light sensor.</t>
  </si>
  <si>
    <t>ABS, traction control, hill hold, console themes, switchgear and menus.</t>
  </si>
  <si>
    <t>Power on and off, handle lock, parking, deep sleep and lockdown.</t>
  </si>
  <si>
    <t>Violette AI, Crash Alert, Delta Watch, A.C.W.S., TPMS and the mobile app.</t>
  </si>
  <si>
    <t>Cluster indicators, system notifications and what each one means.</t>
  </si>
  <si>
    <t>Service schedule, chain, brakes, suspension, tyres, fuses, washing, torques.</t>
  </si>
  <si>
    <t>Long-term parking, transport preparation and long-trip packing.</t>
  </si>
  <si>
    <t>The manual's fault table plus accident and support procedures.</t>
  </si>
  <si>
    <t>Coverage periods, exclusions, what voids cover, transfers and disputes.</t>
  </si>
  <si>
    <t>Scenario questions that need two or more sections to answer properly.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</si>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</sst>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color rgb="FF595959"/>
      <name val="Arial"/>
      <charset val="1"/>
    </font>
    <font>
      <b/>
      <sz val="15"/>
      <color rgb="FF2B1B47"/>
      <name val="Arial"/>
      <charset val="1"/>
    </font>
    <font>
      <i/>
      <sz val="10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B1B47"/>
        <bgColor rgb="FF333300"/>
      </patternFill>
    </fill>
    <fill>
      <patternFill patternType="solid">
        <fgColor rgb="FFF4F1F8"/>
        <bgColor rgb="FFFFFFFF"/>
      </patternFill>
    </fill>
    <fill>
      <patternFill patternType="solid">
        <fgColor rgb="FFE8E2F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F8"/>
      <rgbColor rgb="FFE8E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1B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"/>
  <sheetViews>
    <sheetView tabSelected="1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26" customWidth="1"/>
    <col min="3" max="3" width="46" customWidth="1"/>
    <col min="4" max="4" width="62" customWidth="1"/>
    <col min="5" max="5" width="42" customWidth="1"/>
    <col min="6" max="6" width="11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4" t="s">
        <v>8</v>
      </c>
      <c r="E2" s="5" t="s">
        <v>9</v>
      </c>
      <c r="F2" s="2">
        <f>IF(D2="",0,LEN(TRIM(D2))-LEN(SUBSTITUTE(TRIM(D2)," ",""))+1)</f>
        <v>2</v>
      </c>
    </row>
    <row r="3" spans="1:6">
      <c r="A3" s="6">
        <v>2</v>
      </c>
      <c r="B3" s="7" t="s">
        <v>6</v>
      </c>
      <c r="C3" s="8" t="s">
        <v>10</v>
      </c>
      <c r="D3" s="8" t="s">
        <v>11</v>
      </c>
      <c r="E3" s="9" t="s">
        <v>9</v>
      </c>
      <c r="F3" s="6">
        <f>IF(D3="",0,LEN(TRIM(D3))-LEN(SUBSTITUTE(TRIM(D3)," ",""))+1)</f>
        <v>2</v>
      </c>
    </row>
    <row r="4" spans="1:6">
      <c r="A4" s="2">
        <v>3</v>
      </c>
      <c r="B4" s="3" t="s">
        <v>6</v>
      </c>
      <c r="C4" s="4" t="s">
        <v>12</v>
      </c>
      <c r="D4" s="4" t="s">
        <v>13</v>
      </c>
      <c r="E4" s="5" t="s">
        <v>9</v>
      </c>
      <c r="F4" s="2">
        <f>IF(D4="",0,LEN(TRIM(D4))-LEN(SUBSTITUTE(TRIM(D4)," ",""))+1)</f>
        <v>14</v>
      </c>
    </row>
    <row r="5" spans="1:6">
      <c r="A5" s="6">
        <v>4</v>
      </c>
      <c r="B5" s="7" t="s">
        <v>6</v>
      </c>
      <c r="C5" s="8" t="s">
        <v>14</v>
      </c>
      <c r="D5" s="8" t="s">
        <v>15</v>
      </c>
      <c r="E5" s="9" t="s">
        <v>9</v>
      </c>
      <c r="F5" s="6">
        <f>IF(D5="",0,LEN(TRIM(D5))-LEN(SUBSTITUTE(TRIM(D5)," ",""))+1)</f>
        <v>2</v>
      </c>
    </row>
    <row r="6" spans="1:6">
      <c r="A6" s="2">
        <v>5</v>
      </c>
      <c r="B6" s="3" t="s">
        <v>6</v>
      </c>
      <c r="C6" s="4" t="s">
        <v>16</v>
      </c>
      <c r="D6" s="4" t="s">
        <v>17</v>
      </c>
      <c r="E6" s="5" t="s">
        <v>18</v>
      </c>
      <c r="F6" s="2">
        <f>IF(D6="",0,LEN(TRIM(D6))-LEN(SUBSTITUTE(TRIM(D6)," ",""))+1)</f>
        <v>16</v>
      </c>
    </row>
    <row r="7" spans="1:6" ht="22.35">
      <c r="A7" s="6">
        <v>6</v>
      </c>
      <c r="B7" s="7" t="s">
        <v>6</v>
      </c>
      <c r="C7" s="8" t="s">
        <v>19</v>
      </c>
      <c r="D7" s="8" t="s">
        <v>20</v>
      </c>
      <c r="E7" s="9" t="s">
        <v>21</v>
      </c>
      <c r="F7" s="6">
        <f>IF(D7="",0,LEN(TRIM(D7))-LEN(SUBSTITUTE(TRIM(D7)," ",""))+1)</f>
        <v>15</v>
      </c>
    </row>
    <row r="8" spans="1:6">
      <c r="A8" s="2">
        <v>7</v>
      </c>
      <c r="B8" s="3" t="s">
        <v>6</v>
      </c>
      <c r="C8" s="4" t="s">
        <v>22</v>
      </c>
      <c r="D8" s="4" t="s">
        <v>23</v>
      </c>
      <c r="E8" s="5" t="s">
        <v>24</v>
      </c>
      <c r="F8" s="2">
        <f>IF(D8="",0,LEN(TRIM(D8))-LEN(SUBSTITUTE(TRIM(D8)," ",""))+1)</f>
        <v>11</v>
      </c>
    </row>
    <row r="9" spans="1:6">
      <c r="A9" s="6">
        <v>8</v>
      </c>
      <c r="B9" s="7" t="s">
        <v>6</v>
      </c>
      <c r="C9" s="8" t="s">
        <v>25</v>
      </c>
      <c r="D9" s="8" t="s">
        <v>26</v>
      </c>
      <c r="E9" s="9" t="s">
        <v>27</v>
      </c>
      <c r="F9" s="6">
        <f>IF(D9="",0,LEN(TRIM(D9))-LEN(SUBSTITUTE(TRIM(D9)," ",""))+1)</f>
        <v>6</v>
      </c>
    </row>
    <row r="10" spans="1:6" ht="23.85">
      <c r="A10" s="2">
        <v>9</v>
      </c>
      <c r="B10" s="3" t="s">
        <v>6</v>
      </c>
      <c r="C10" s="4" t="s">
        <v>28</v>
      </c>
      <c r="D10" s="4" t="s">
        <v>29</v>
      </c>
      <c r="E10" s="5" t="s">
        <v>27</v>
      </c>
      <c r="F10" s="2">
        <f>IF(D10="",0,LEN(TRIM(D10))-LEN(SUBSTITUTE(TRIM(D10)," ",""))+1)</f>
        <v>17</v>
      </c>
    </row>
    <row r="11" spans="1:6" ht="23.85">
      <c r="A11" s="6">
        <v>10</v>
      </c>
      <c r="B11" s="7" t="s">
        <v>6</v>
      </c>
      <c r="C11" s="8" t="s">
        <v>30</v>
      </c>
      <c r="D11" s="8" t="s">
        <v>31</v>
      </c>
      <c r="E11" s="9" t="s">
        <v>27</v>
      </c>
      <c r="F11" s="6">
        <f>IF(D11="",0,LEN(TRIM(D11))-LEN(SUBSTITUTE(TRIM(D11)," ",""))+1)</f>
        <v>17</v>
      </c>
    </row>
    <row r="12" spans="1:6">
      <c r="A12" s="2">
        <v>11</v>
      </c>
      <c r="B12" s="3" t="s">
        <v>6</v>
      </c>
      <c r="C12" s="4" t="s">
        <v>32</v>
      </c>
      <c r="D12" s="4" t="s">
        <v>33</v>
      </c>
      <c r="E12" s="5" t="s">
        <v>34</v>
      </c>
      <c r="F12" s="2">
        <f>IF(D12="",0,LEN(TRIM(D12))-LEN(SUBSTITUTE(TRIM(D12)," ",""))+1)</f>
        <v>9</v>
      </c>
    </row>
    <row r="13" spans="1:6">
      <c r="A13" s="6">
        <v>12</v>
      </c>
      <c r="B13" s="7" t="s">
        <v>6</v>
      </c>
      <c r="C13" s="8" t="s">
        <v>35</v>
      </c>
      <c r="D13" s="8" t="s">
        <v>36</v>
      </c>
      <c r="E13" s="9" t="s">
        <v>37</v>
      </c>
      <c r="F13" s="6">
        <f>IF(D13="",0,LEN(TRIM(D13))-LEN(SUBSTITUTE(TRIM(D13)," ",""))+1)</f>
        <v>8</v>
      </c>
    </row>
    <row r="14" spans="1:6" ht="23.85">
      <c r="A14" s="2">
        <v>13</v>
      </c>
      <c r="B14" s="3" t="s">
        <v>6</v>
      </c>
      <c r="C14" s="4" t="s">
        <v>38</v>
      </c>
      <c r="D14" s="4" t="s">
        <v>39</v>
      </c>
      <c r="E14" s="5" t="s">
        <v>40</v>
      </c>
      <c r="F14" s="2">
        <f>IF(D14="",0,LEN(TRIM(D14))-LEN(SUBSTITUTE(TRIM(D14)," ",""))+1)</f>
        <v>14</v>
      </c>
    </row>
    <row r="15" spans="1:6" ht="23.85">
      <c r="A15" s="6">
        <v>14</v>
      </c>
      <c r="B15" s="7" t="s">
        <v>6</v>
      </c>
      <c r="C15" s="8" t="s">
        <v>41</v>
      </c>
      <c r="D15" s="8" t="s">
        <v>42</v>
      </c>
      <c r="E15" s="9" t="s">
        <v>43</v>
      </c>
      <c r="F15" s="6">
        <f>IF(D15="",0,LEN(TRIM(D15))-LEN(SUBSTITUTE(TRIM(D15)," ",""))+1)</f>
        <v>25</v>
      </c>
    </row>
    <row r="16" spans="1:6" ht="23.85">
      <c r="A16" s="2">
        <v>15</v>
      </c>
      <c r="B16" s="3" t="s">
        <v>6</v>
      </c>
      <c r="C16" s="4" t="s">
        <v>44</v>
      </c>
      <c r="D16" s="4" t="s">
        <v>45</v>
      </c>
      <c r="E16" s="5" t="s">
        <v>46</v>
      </c>
      <c r="F16" s="2">
        <f>IF(D16="",0,LEN(TRIM(D16))-LEN(SUBSTITUTE(TRIM(D16)," ",""))+1)</f>
        <v>14</v>
      </c>
    </row>
    <row r="17" spans="1:6" ht="23.85">
      <c r="A17" s="6">
        <v>16</v>
      </c>
      <c r="B17" s="7" t="s">
        <v>6</v>
      </c>
      <c r="C17" s="8" t="s">
        <v>47</v>
      </c>
      <c r="D17" s="8" t="s">
        <v>48</v>
      </c>
      <c r="E17" s="9" t="s">
        <v>49</v>
      </c>
      <c r="F17" s="6">
        <f>IF(D17="",0,LEN(TRIM(D17))-LEN(SUBSTITUTE(TRIM(D17)," ",""))+1)</f>
        <v>21</v>
      </c>
    </row>
    <row r="18" spans="1:6" ht="23.85">
      <c r="A18" s="2">
        <v>17</v>
      </c>
      <c r="B18" s="3" t="s">
        <v>6</v>
      </c>
      <c r="C18" s="4" t="s">
        <v>50</v>
      </c>
      <c r="D18" s="4" t="s">
        <v>51</v>
      </c>
      <c r="E18" s="5" t="s">
        <v>49</v>
      </c>
      <c r="F18" s="2">
        <f>IF(D18="",0,LEN(TRIM(D18))-LEN(SUBSTITUTE(TRIM(D18)," ",""))+1)</f>
        <v>18</v>
      </c>
    </row>
    <row r="19" spans="1:6" ht="23.85">
      <c r="A19" s="6">
        <v>18</v>
      </c>
      <c r="B19" s="7" t="s">
        <v>6</v>
      </c>
      <c r="C19" s="8" t="s">
        <v>52</v>
      </c>
      <c r="D19" s="8" t="s">
        <v>53</v>
      </c>
      <c r="E19" s="9" t="s">
        <v>54</v>
      </c>
      <c r="F19" s="6">
        <f>IF(D19="",0,LEN(TRIM(D19))-LEN(SUBSTITUTE(TRIM(D19)," ",""))+1)</f>
        <v>19</v>
      </c>
    </row>
    <row r="20" spans="1:6" ht="23.85">
      <c r="A20" s="2">
        <v>19</v>
      </c>
      <c r="B20" s="3" t="s">
        <v>6</v>
      </c>
      <c r="C20" s="4" t="s">
        <v>55</v>
      </c>
      <c r="D20" s="4" t="s">
        <v>56</v>
      </c>
      <c r="E20" s="5" t="s">
        <v>57</v>
      </c>
      <c r="F20" s="2">
        <f>IF(D20="",0,LEN(TRIM(D20))-LEN(SUBSTITUTE(TRIM(D20)," ",""))+1)</f>
        <v>16</v>
      </c>
    </row>
    <row r="21" spans="1:6" ht="23.85">
      <c r="A21" s="6">
        <v>20</v>
      </c>
      <c r="B21" s="7" t="s">
        <v>6</v>
      </c>
      <c r="C21" s="8" t="s">
        <v>58</v>
      </c>
      <c r="D21" s="8" t="s">
        <v>59</v>
      </c>
      <c r="E21" s="9" t="s">
        <v>60</v>
      </c>
      <c r="F21" s="6">
        <f>IF(D21="",0,LEN(TRIM(D21))-LEN(SUBSTITUTE(TRIM(D21)," ",""))+1)</f>
        <v>17</v>
      </c>
    </row>
    <row r="22" spans="1:6">
      <c r="A22" s="2">
        <v>21</v>
      </c>
      <c r="B22" s="3" t="s">
        <v>6</v>
      </c>
      <c r="C22" s="4" t="s">
        <v>61</v>
      </c>
      <c r="D22" s="4" t="s">
        <v>62</v>
      </c>
      <c r="E22" s="5" t="s">
        <v>63</v>
      </c>
      <c r="F22" s="2">
        <f>IF(D22="",0,LEN(TRIM(D22))-LEN(SUBSTITUTE(TRIM(D22)," ",""))+1)</f>
        <v>11</v>
      </c>
    </row>
    <row r="23" spans="1:6" ht="23.85">
      <c r="A23" s="6">
        <v>22</v>
      </c>
      <c r="B23" s="7" t="s">
        <v>64</v>
      </c>
      <c r="C23" s="8" t="s">
        <v>65</v>
      </c>
      <c r="D23" s="8" t="s">
        <v>66</v>
      </c>
      <c r="E23" s="9" t="s">
        <v>67</v>
      </c>
      <c r="F23" s="6">
        <f>IF(D23="",0,LEN(TRIM(D23))-LEN(SUBSTITUTE(TRIM(D23)," ",""))+1)</f>
        <v>16</v>
      </c>
    </row>
    <row r="24" spans="1:6" ht="23.85">
      <c r="A24" s="2">
        <v>23</v>
      </c>
      <c r="B24" s="3" t="s">
        <v>64</v>
      </c>
      <c r="C24" s="4" t="s">
        <v>68</v>
      </c>
      <c r="D24" s="4" t="s">
        <v>69</v>
      </c>
      <c r="E24" s="5" t="s">
        <v>70</v>
      </c>
      <c r="F24" s="2">
        <f>IF(D24="",0,LEN(TRIM(D24))-LEN(SUBSTITUTE(TRIM(D24)," ",""))+1)</f>
        <v>15</v>
      </c>
    </row>
    <row r="25" spans="1:6" ht="23.85">
      <c r="A25" s="6">
        <v>24</v>
      </c>
      <c r="B25" s="7" t="s">
        <v>64</v>
      </c>
      <c r="C25" s="8" t="s">
        <v>71</v>
      </c>
      <c r="D25" s="8" t="s">
        <v>72</v>
      </c>
      <c r="E25" s="9" t="s">
        <v>73</v>
      </c>
      <c r="F25" s="6">
        <f>IF(D25="",0,LEN(TRIM(D25))-LEN(SUBSTITUTE(TRIM(D25)," ",""))+1)</f>
        <v>17</v>
      </c>
    </row>
    <row r="26" spans="1:6" ht="23.85">
      <c r="A26" s="2">
        <v>25</v>
      </c>
      <c r="B26" s="3" t="s">
        <v>64</v>
      </c>
      <c r="C26" s="4" t="s">
        <v>74</v>
      </c>
      <c r="D26" s="4" t="s">
        <v>75</v>
      </c>
      <c r="E26" s="5" t="s">
        <v>76</v>
      </c>
      <c r="F26" s="2">
        <f>IF(D26="",0,LEN(TRIM(D26))-LEN(SUBSTITUTE(TRIM(D26)," ",""))+1)</f>
        <v>13</v>
      </c>
    </row>
    <row r="27" spans="1:6" ht="23.85">
      <c r="A27" s="6">
        <v>26</v>
      </c>
      <c r="B27" s="7" t="s">
        <v>64</v>
      </c>
      <c r="C27" s="8" t="s">
        <v>77</v>
      </c>
      <c r="D27" s="8" t="s">
        <v>78</v>
      </c>
      <c r="E27" s="9" t="s">
        <v>79</v>
      </c>
      <c r="F27" s="6">
        <f>IF(D27="",0,LEN(TRIM(D27))-LEN(SUBSTITUTE(TRIM(D27)," ",""))+1)</f>
        <v>21</v>
      </c>
    </row>
    <row r="28" spans="1:6">
      <c r="A28" s="2">
        <v>27</v>
      </c>
      <c r="B28" s="3" t="s">
        <v>64</v>
      </c>
      <c r="C28" s="4" t="s">
        <v>80</v>
      </c>
      <c r="D28" s="4" t="s">
        <v>81</v>
      </c>
      <c r="E28" s="5" t="s">
        <v>82</v>
      </c>
      <c r="F28" s="2">
        <f>IF(D28="",0,LEN(TRIM(D28))-LEN(SUBSTITUTE(TRIM(D28)," ",""))+1)</f>
        <v>11</v>
      </c>
    </row>
    <row r="29" spans="1:6" ht="23.85">
      <c r="A29" s="6">
        <v>28</v>
      </c>
      <c r="B29" s="7" t="s">
        <v>64</v>
      </c>
      <c r="C29" s="8" t="s">
        <v>83</v>
      </c>
      <c r="D29" s="8" t="s">
        <v>84</v>
      </c>
      <c r="E29" s="9" t="s">
        <v>85</v>
      </c>
      <c r="F29" s="6">
        <f>IF(D29="",0,LEN(TRIM(D29))-LEN(SUBSTITUTE(TRIM(D29)," ",""))+1)</f>
        <v>24</v>
      </c>
    </row>
    <row r="30" spans="1:6" ht="23.85">
      <c r="A30" s="2">
        <v>29</v>
      </c>
      <c r="B30" s="3" t="s">
        <v>64</v>
      </c>
      <c r="C30" s="4" t="s">
        <v>86</v>
      </c>
      <c r="D30" s="4" t="s">
        <v>87</v>
      </c>
      <c r="E30" s="5" t="s">
        <v>85</v>
      </c>
      <c r="F30" s="2">
        <f>IF(D30="",0,LEN(TRIM(D30))-LEN(SUBSTITUTE(TRIM(D30)," ",""))+1)</f>
        <v>14</v>
      </c>
    </row>
    <row r="31" spans="1:6">
      <c r="A31" s="6">
        <v>30</v>
      </c>
      <c r="B31" s="7" t="s">
        <v>64</v>
      </c>
      <c r="C31" s="8" t="s">
        <v>88</v>
      </c>
      <c r="D31" s="8" t="s">
        <v>89</v>
      </c>
      <c r="E31" s="9" t="s">
        <v>85</v>
      </c>
      <c r="F31" s="6">
        <f>IF(D31="",0,LEN(TRIM(D31))-LEN(SUBSTITUTE(TRIM(D31)," ",""))+1)</f>
        <v>16</v>
      </c>
    </row>
    <row r="32" spans="1:6" ht="23.85">
      <c r="A32" s="2">
        <v>31</v>
      </c>
      <c r="B32" s="3" t="s">
        <v>64</v>
      </c>
      <c r="C32" s="4" t="s">
        <v>90</v>
      </c>
      <c r="D32" s="4" t="s">
        <v>91</v>
      </c>
      <c r="E32" s="5" t="s">
        <v>92</v>
      </c>
      <c r="F32" s="2">
        <f>IF(D32="",0,LEN(TRIM(D32))-LEN(SUBSTITUTE(TRIM(D32)," ",""))+1)</f>
        <v>14</v>
      </c>
    </row>
    <row r="33" spans="1:6" ht="23.85">
      <c r="A33" s="6">
        <v>32</v>
      </c>
      <c r="B33" s="7" t="s">
        <v>64</v>
      </c>
      <c r="C33" s="8" t="s">
        <v>93</v>
      </c>
      <c r="D33" s="8" t="s">
        <v>94</v>
      </c>
      <c r="E33" s="9" t="s">
        <v>95</v>
      </c>
      <c r="F33" s="6">
        <f>IF(D33="",0,LEN(TRIM(D33))-LEN(SUBSTITUTE(TRIM(D33)," ",""))+1)</f>
        <v>19</v>
      </c>
    </row>
    <row r="34" spans="1:6">
      <c r="A34" s="2">
        <v>33</v>
      </c>
      <c r="B34" s="3" t="s">
        <v>64</v>
      </c>
      <c r="C34" s="4" t="s">
        <v>96</v>
      </c>
      <c r="D34" s="4" t="s">
        <v>97</v>
      </c>
      <c r="E34" s="5" t="s">
        <v>95</v>
      </c>
      <c r="F34" s="2">
        <f>IF(D34="",0,LEN(TRIM(D34))-LEN(SUBSTITUTE(TRIM(D34)," ",""))+1)</f>
        <v>9</v>
      </c>
    </row>
    <row r="35" spans="1:6" ht="23.85">
      <c r="A35" s="6">
        <v>34</v>
      </c>
      <c r="B35" s="7" t="s">
        <v>64</v>
      </c>
      <c r="C35" s="8" t="s">
        <v>98</v>
      </c>
      <c r="D35" s="8" t="s">
        <v>99</v>
      </c>
      <c r="E35" s="9" t="s">
        <v>95</v>
      </c>
      <c r="F35" s="6">
        <f>IF(D35="",0,LEN(TRIM(D35))-LEN(SUBSTITUTE(TRIM(D35)," ",""))+1)</f>
        <v>19</v>
      </c>
    </row>
    <row r="36" spans="1:6">
      <c r="A36" s="2">
        <v>35</v>
      </c>
      <c r="B36" s="3" t="s">
        <v>64</v>
      </c>
      <c r="C36" s="4" t="s">
        <v>100</v>
      </c>
      <c r="D36" s="4" t="s">
        <v>101</v>
      </c>
      <c r="E36" s="5" t="s">
        <v>95</v>
      </c>
      <c r="F36" s="2">
        <f>IF(D36="",0,LEN(TRIM(D36))-LEN(SUBSTITUTE(TRIM(D36)," ",""))+1)</f>
        <v>4</v>
      </c>
    </row>
    <row r="37" spans="1:6" ht="23.85">
      <c r="A37" s="6">
        <v>36</v>
      </c>
      <c r="B37" s="7" t="s">
        <v>64</v>
      </c>
      <c r="C37" s="8" t="s">
        <v>102</v>
      </c>
      <c r="D37" s="8" t="s">
        <v>103</v>
      </c>
      <c r="E37" s="9" t="s">
        <v>104</v>
      </c>
      <c r="F37" s="6">
        <f>IF(D37="",0,LEN(TRIM(D37))-LEN(SUBSTITUTE(TRIM(D37)," ",""))+1)</f>
        <v>16</v>
      </c>
    </row>
    <row r="38" spans="1:6" ht="23.85">
      <c r="A38" s="2">
        <v>37</v>
      </c>
      <c r="B38" s="3" t="s">
        <v>64</v>
      </c>
      <c r="C38" s="4" t="s">
        <v>105</v>
      </c>
      <c r="D38" s="4" t="s">
        <v>106</v>
      </c>
      <c r="E38" s="5" t="s">
        <v>107</v>
      </c>
      <c r="F38" s="2">
        <f>IF(D38="",0,LEN(TRIM(D38))-LEN(SUBSTITUTE(TRIM(D38)," ",""))+1)</f>
        <v>17</v>
      </c>
    </row>
    <row r="39" spans="1:6" ht="23.85">
      <c r="A39" s="6">
        <v>38</v>
      </c>
      <c r="B39" s="7" t="s">
        <v>64</v>
      </c>
      <c r="C39" s="8" t="s">
        <v>108</v>
      </c>
      <c r="D39" s="8" t="s">
        <v>109</v>
      </c>
      <c r="E39" s="9" t="s">
        <v>107</v>
      </c>
      <c r="F39" s="6">
        <f>IF(D39="",0,LEN(TRIM(D39))-LEN(SUBSTITUTE(TRIM(D39)," ",""))+1)</f>
        <v>20</v>
      </c>
    </row>
    <row r="40" spans="1:6">
      <c r="A40" s="2">
        <v>39</v>
      </c>
      <c r="B40" s="3" t="s">
        <v>110</v>
      </c>
      <c r="C40" s="4" t="s">
        <v>111</v>
      </c>
      <c r="D40" s="4" t="s">
        <v>112</v>
      </c>
      <c r="E40" s="5" t="s">
        <v>113</v>
      </c>
      <c r="F40" s="2">
        <f>IF(D40="",0,LEN(TRIM(D40))-LEN(SUBSTITUTE(TRIM(D40)," ",""))+1)</f>
        <v>11</v>
      </c>
    </row>
    <row r="41" spans="1:6">
      <c r="A41" s="6">
        <v>40</v>
      </c>
      <c r="B41" s="7" t="s">
        <v>110</v>
      </c>
      <c r="C41" s="8" t="s">
        <v>114</v>
      </c>
      <c r="D41" s="8" t="s">
        <v>115</v>
      </c>
      <c r="E41" s="9" t="s">
        <v>113</v>
      </c>
      <c r="F41" s="6">
        <f>IF(D41="",0,LEN(TRIM(D41))-LEN(SUBSTITUTE(TRIM(D41)," ",""))+1)</f>
        <v>12</v>
      </c>
    </row>
    <row r="42" spans="1:6" ht="23.85">
      <c r="A42" s="2">
        <v>41</v>
      </c>
      <c r="B42" s="3" t="s">
        <v>110</v>
      </c>
      <c r="C42" s="4" t="s">
        <v>116</v>
      </c>
      <c r="D42" s="4" t="s">
        <v>117</v>
      </c>
      <c r="E42" s="5" t="s">
        <v>118</v>
      </c>
      <c r="F42" s="2">
        <f>IF(D42="",0,LEN(TRIM(D42))-LEN(SUBSTITUTE(TRIM(D42)," ",""))+1)</f>
        <v>14</v>
      </c>
    </row>
    <row r="43" spans="1:6" ht="23.85">
      <c r="A43" s="6">
        <v>42</v>
      </c>
      <c r="B43" s="7" t="s">
        <v>110</v>
      </c>
      <c r="C43" s="8" t="s">
        <v>119</v>
      </c>
      <c r="D43" s="8" t="s">
        <v>120</v>
      </c>
      <c r="E43" s="9" t="s">
        <v>118</v>
      </c>
      <c r="F43" s="6">
        <f>IF(D43="",0,LEN(TRIM(D43))-LEN(SUBSTITUTE(TRIM(D43)," ",""))+1)</f>
        <v>19</v>
      </c>
    </row>
    <row r="44" spans="1:6" ht="23.85">
      <c r="A44" s="2">
        <v>43</v>
      </c>
      <c r="B44" s="3" t="s">
        <v>110</v>
      </c>
      <c r="C44" s="4" t="s">
        <v>121</v>
      </c>
      <c r="D44" s="4" t="s">
        <v>122</v>
      </c>
      <c r="E44" s="5" t="s">
        <v>118</v>
      </c>
      <c r="F44" s="2">
        <f>IF(D44="",0,LEN(TRIM(D44))-LEN(SUBSTITUTE(TRIM(D44)," ",""))+1)</f>
        <v>17</v>
      </c>
    </row>
    <row r="45" spans="1:6" ht="23.85">
      <c r="A45" s="6">
        <v>44</v>
      </c>
      <c r="B45" s="7" t="s">
        <v>110</v>
      </c>
      <c r="C45" s="8" t="s">
        <v>123</v>
      </c>
      <c r="D45" s="8" t="s">
        <v>124</v>
      </c>
      <c r="E45" s="9" t="s">
        <v>125</v>
      </c>
      <c r="F45" s="6">
        <f>IF(D45="",0,LEN(TRIM(D45))-LEN(SUBSTITUTE(TRIM(D45)," ",""))+1)</f>
        <v>14</v>
      </c>
    </row>
    <row r="46" spans="1:6" ht="23.85">
      <c r="A46" s="2">
        <v>45</v>
      </c>
      <c r="B46" s="3" t="s">
        <v>110</v>
      </c>
      <c r="C46" s="4" t="s">
        <v>126</v>
      </c>
      <c r="D46" s="4" t="s">
        <v>127</v>
      </c>
      <c r="E46" s="5" t="s">
        <v>118</v>
      </c>
      <c r="F46" s="2">
        <f>IF(D46="",0,LEN(TRIM(D46))-LEN(SUBSTITUTE(TRIM(D46)," ",""))+1)</f>
        <v>13</v>
      </c>
    </row>
    <row r="47" spans="1:6" ht="23.85">
      <c r="A47" s="6">
        <v>46</v>
      </c>
      <c r="B47" s="7" t="s">
        <v>128</v>
      </c>
      <c r="C47" s="8" t="s">
        <v>129</v>
      </c>
      <c r="D47" s="8" t="s">
        <v>130</v>
      </c>
      <c r="E47" s="9" t="s">
        <v>131</v>
      </c>
      <c r="F47" s="6">
        <f>IF(D47="",0,LEN(TRIM(D47))-LEN(SUBSTITUTE(TRIM(D47)," ",""))+1)</f>
        <v>15</v>
      </c>
    </row>
    <row r="48" spans="1:6">
      <c r="A48" s="2">
        <v>47</v>
      </c>
      <c r="B48" s="3" t="s">
        <v>128</v>
      </c>
      <c r="C48" s="4" t="s">
        <v>132</v>
      </c>
      <c r="D48" s="4" t="s">
        <v>133</v>
      </c>
      <c r="E48" s="5" t="s">
        <v>134</v>
      </c>
      <c r="F48" s="2">
        <f>IF(D48="",0,LEN(TRIM(D48))-LEN(SUBSTITUTE(TRIM(D48)," ",""))+1)</f>
        <v>17</v>
      </c>
    </row>
    <row r="49" spans="1:6">
      <c r="A49" s="6">
        <v>48</v>
      </c>
      <c r="B49" s="7" t="s">
        <v>128</v>
      </c>
      <c r="C49" s="8" t="s">
        <v>135</v>
      </c>
      <c r="D49" s="8" t="s">
        <v>136</v>
      </c>
      <c r="E49" s="9" t="s">
        <v>134</v>
      </c>
      <c r="F49" s="6">
        <f>IF(D49="",0,LEN(TRIM(D49))-LEN(SUBSTITUTE(TRIM(D49)," ",""))+1)</f>
        <v>16</v>
      </c>
    </row>
    <row r="50" spans="1:6" ht="23.85">
      <c r="A50" s="2">
        <v>49</v>
      </c>
      <c r="B50" s="3" t="s">
        <v>128</v>
      </c>
      <c r="C50" s="4" t="s">
        <v>137</v>
      </c>
      <c r="D50" s="4" t="s">
        <v>138</v>
      </c>
      <c r="E50" s="5" t="s">
        <v>134</v>
      </c>
      <c r="F50" s="2">
        <f>IF(D50="",0,LEN(TRIM(D50))-LEN(SUBSTITUTE(TRIM(D50)," ",""))+1)</f>
        <v>16</v>
      </c>
    </row>
    <row r="51" spans="1:6">
      <c r="A51" s="6">
        <v>50</v>
      </c>
      <c r="B51" s="7" t="s">
        <v>128</v>
      </c>
      <c r="C51" s="8" t="s">
        <v>139</v>
      </c>
      <c r="D51" s="8" t="s">
        <v>140</v>
      </c>
      <c r="E51" s="9" t="s">
        <v>141</v>
      </c>
      <c r="F51" s="6">
        <f>IF(D51="",0,LEN(TRIM(D51))-LEN(SUBSTITUTE(TRIM(D51)," ",""))+1)</f>
        <v>10</v>
      </c>
    </row>
    <row r="52" spans="1:6" ht="23.85">
      <c r="A52" s="2">
        <v>51</v>
      </c>
      <c r="B52" s="3" t="s">
        <v>128</v>
      </c>
      <c r="C52" s="4" t="s">
        <v>142</v>
      </c>
      <c r="D52" s="4" t="s">
        <v>143</v>
      </c>
      <c r="E52" s="5" t="s">
        <v>144</v>
      </c>
      <c r="F52" s="2">
        <f>IF(D52="",0,LEN(TRIM(D52))-LEN(SUBSTITUTE(TRIM(D52)," ",""))+1)</f>
        <v>26</v>
      </c>
    </row>
    <row r="53" spans="1:6" ht="23.85">
      <c r="A53" s="6">
        <v>52</v>
      </c>
      <c r="B53" s="7" t="s">
        <v>128</v>
      </c>
      <c r="C53" s="8" t="s">
        <v>145</v>
      </c>
      <c r="D53" s="8" t="s">
        <v>146</v>
      </c>
      <c r="E53" s="9" t="s">
        <v>147</v>
      </c>
      <c r="F53" s="6">
        <f>IF(D53="",0,LEN(TRIM(D53))-LEN(SUBSTITUTE(TRIM(D53)," ",""))+1)</f>
        <v>15</v>
      </c>
    </row>
    <row r="54" spans="1:6" ht="23.85">
      <c r="A54" s="2">
        <v>53</v>
      </c>
      <c r="B54" s="3" t="s">
        <v>128</v>
      </c>
      <c r="C54" s="4" t="s">
        <v>148</v>
      </c>
      <c r="D54" s="4" t="s">
        <v>149</v>
      </c>
      <c r="E54" s="5" t="s">
        <v>150</v>
      </c>
      <c r="F54" s="2">
        <f>IF(D54="",0,LEN(TRIM(D54))-LEN(SUBSTITUTE(TRIM(D54)," ",""))+1)</f>
        <v>16</v>
      </c>
    </row>
    <row r="55" spans="1:6" ht="23.85">
      <c r="A55" s="6">
        <v>54</v>
      </c>
      <c r="B55" s="7" t="s">
        <v>128</v>
      </c>
      <c r="C55" s="8" t="s">
        <v>151</v>
      </c>
      <c r="D55" s="8" t="s">
        <v>152</v>
      </c>
      <c r="E55" s="9" t="s">
        <v>153</v>
      </c>
      <c r="F55" s="6">
        <f>IF(D55="",0,LEN(TRIM(D55))-LEN(SUBSTITUTE(TRIM(D55)," ",""))+1)</f>
        <v>20</v>
      </c>
    </row>
    <row r="56" spans="1:6">
      <c r="A56" s="2">
        <v>55</v>
      </c>
      <c r="B56" s="3" t="s">
        <v>128</v>
      </c>
      <c r="C56" s="4" t="s">
        <v>154</v>
      </c>
      <c r="D56" s="4" t="s">
        <v>155</v>
      </c>
      <c r="E56" s="5" t="s">
        <v>156</v>
      </c>
      <c r="F56" s="2">
        <f>IF(D56="",0,LEN(TRIM(D56))-LEN(SUBSTITUTE(TRIM(D56)," ",""))+1)</f>
        <v>12</v>
      </c>
    </row>
    <row r="57" spans="1:6">
      <c r="A57" s="6">
        <v>56</v>
      </c>
      <c r="B57" s="7" t="s">
        <v>128</v>
      </c>
      <c r="C57" s="8" t="s">
        <v>157</v>
      </c>
      <c r="D57" s="8" t="s">
        <v>158</v>
      </c>
      <c r="E57" s="9" t="s">
        <v>144</v>
      </c>
      <c r="F57" s="6">
        <f>IF(D57="",0,LEN(TRIM(D57))-LEN(SUBSTITUTE(TRIM(D57)," ",""))+1)</f>
        <v>10</v>
      </c>
    </row>
    <row r="58" spans="1:6" ht="23.85">
      <c r="A58" s="2">
        <v>57</v>
      </c>
      <c r="B58" s="3" t="s">
        <v>128</v>
      </c>
      <c r="C58" s="4" t="s">
        <v>159</v>
      </c>
      <c r="D58" s="4" t="s">
        <v>160</v>
      </c>
      <c r="E58" s="5" t="s">
        <v>161</v>
      </c>
      <c r="F58" s="2">
        <f>IF(D58="",0,LEN(TRIM(D58))-LEN(SUBSTITUTE(TRIM(D58)," ",""))+1)</f>
        <v>17</v>
      </c>
    </row>
    <row r="59" spans="1:6">
      <c r="A59" s="6">
        <v>58</v>
      </c>
      <c r="B59" s="7" t="s">
        <v>128</v>
      </c>
      <c r="C59" s="8" t="s">
        <v>162</v>
      </c>
      <c r="D59" s="8" t="s">
        <v>163</v>
      </c>
      <c r="E59" s="9" t="s">
        <v>156</v>
      </c>
      <c r="F59" s="6">
        <f>IF(D59="",0,LEN(TRIM(D59))-LEN(SUBSTITUTE(TRIM(D59)," ",""))+1)</f>
        <v>12</v>
      </c>
    </row>
    <row r="60" spans="1:6" ht="23.85">
      <c r="A60" s="2">
        <v>59</v>
      </c>
      <c r="B60" s="3" t="s">
        <v>128</v>
      </c>
      <c r="C60" s="4" t="s">
        <v>164</v>
      </c>
      <c r="D60" s="4" t="s">
        <v>165</v>
      </c>
      <c r="E60" s="5" t="s">
        <v>156</v>
      </c>
      <c r="F60" s="2">
        <f>IF(D60="",0,LEN(TRIM(D60))-LEN(SUBSTITUTE(TRIM(D60)," ",""))+1)</f>
        <v>18</v>
      </c>
    </row>
    <row r="61" spans="1:6" ht="23.85">
      <c r="A61" s="6">
        <v>60</v>
      </c>
      <c r="B61" s="7" t="s">
        <v>128</v>
      </c>
      <c r="C61" s="8" t="s">
        <v>166</v>
      </c>
      <c r="D61" s="8" t="s">
        <v>167</v>
      </c>
      <c r="E61" s="9" t="s">
        <v>168</v>
      </c>
      <c r="F61" s="6">
        <f>IF(D61="",0,LEN(TRIM(D61))-LEN(SUBSTITUTE(TRIM(D61)," ",""))+1)</f>
        <v>19</v>
      </c>
    </row>
    <row r="62" spans="1:6" ht="22.35">
      <c r="A62" s="2">
        <v>61</v>
      </c>
      <c r="B62" s="3" t="s">
        <v>128</v>
      </c>
      <c r="C62" s="4" t="s">
        <v>169</v>
      </c>
      <c r="D62" s="4" t="s">
        <v>170</v>
      </c>
      <c r="E62" s="5" t="s">
        <v>171</v>
      </c>
      <c r="F62" s="2">
        <f>IF(D62="",0,LEN(TRIM(D62))-LEN(SUBSTITUTE(TRIM(D62)," ",""))+1)</f>
        <v>8</v>
      </c>
    </row>
    <row r="63" spans="1:6" ht="23.85">
      <c r="A63" s="6">
        <v>62</v>
      </c>
      <c r="B63" s="7" t="s">
        <v>128</v>
      </c>
      <c r="C63" s="8" t="s">
        <v>172</v>
      </c>
      <c r="D63" s="8" t="s">
        <v>173</v>
      </c>
      <c r="E63" s="9" t="s">
        <v>174</v>
      </c>
      <c r="F63" s="6">
        <f>IF(D63="",0,LEN(TRIM(D63))-LEN(SUBSTITUTE(TRIM(D63)," ",""))+1)</f>
        <v>19</v>
      </c>
    </row>
    <row r="64" spans="1:6" ht="23.85">
      <c r="A64" s="2">
        <v>63</v>
      </c>
      <c r="B64" s="3" t="s">
        <v>128</v>
      </c>
      <c r="C64" s="4" t="s">
        <v>175</v>
      </c>
      <c r="D64" s="4" t="s">
        <v>176</v>
      </c>
      <c r="E64" s="5" t="s">
        <v>177</v>
      </c>
      <c r="F64" s="2">
        <f>IF(D64="",0,LEN(TRIM(D64))-LEN(SUBSTITUTE(TRIM(D64)," ",""))+1)</f>
        <v>18</v>
      </c>
    </row>
    <row r="65" spans="1:6" ht="23.85">
      <c r="A65" s="6">
        <v>64</v>
      </c>
      <c r="B65" s="7" t="s">
        <v>128</v>
      </c>
      <c r="C65" s="8" t="s">
        <v>178</v>
      </c>
      <c r="D65" s="8" t="s">
        <v>179</v>
      </c>
      <c r="E65" s="9" t="s">
        <v>131</v>
      </c>
      <c r="F65" s="6">
        <f>IF(D65="",0,LEN(TRIM(D65))-LEN(SUBSTITUTE(TRIM(D65)," ",""))+1)</f>
        <v>18</v>
      </c>
    </row>
    <row r="66" spans="1:6" ht="23.85">
      <c r="A66" s="2">
        <v>65</v>
      </c>
      <c r="B66" s="3" t="s">
        <v>128</v>
      </c>
      <c r="C66" s="4" t="s">
        <v>180</v>
      </c>
      <c r="D66" s="4" t="s">
        <v>181</v>
      </c>
      <c r="E66" s="5" t="s">
        <v>156</v>
      </c>
      <c r="F66" s="2">
        <f>IF(D66="",0,LEN(TRIM(D66))-LEN(SUBSTITUTE(TRIM(D66)," ",""))+1)</f>
        <v>18</v>
      </c>
    </row>
    <row r="67" spans="1:6" ht="23.85">
      <c r="A67" s="6">
        <v>66</v>
      </c>
      <c r="B67" s="7" t="s">
        <v>128</v>
      </c>
      <c r="C67" s="8" t="s">
        <v>182</v>
      </c>
      <c r="D67" s="8" t="s">
        <v>183</v>
      </c>
      <c r="E67" s="9" t="s">
        <v>184</v>
      </c>
      <c r="F67" s="6">
        <f>IF(D67="",0,LEN(TRIM(D67))-LEN(SUBSTITUTE(TRIM(D67)," ",""))+1)</f>
        <v>15</v>
      </c>
    </row>
    <row r="68" spans="1:6" ht="23.85">
      <c r="A68" s="2">
        <v>67</v>
      </c>
      <c r="B68" s="3" t="s">
        <v>185</v>
      </c>
      <c r="C68" s="4" t="s">
        <v>186</v>
      </c>
      <c r="D68" s="4" t="s">
        <v>187</v>
      </c>
      <c r="E68" s="5" t="s">
        <v>188</v>
      </c>
      <c r="F68" s="2">
        <f>IF(D68="",0,LEN(TRIM(D68))-LEN(SUBSTITUTE(TRIM(D68)," ",""))+1)</f>
        <v>24</v>
      </c>
    </row>
    <row r="69" spans="1:6" ht="22.35">
      <c r="A69" s="6">
        <v>68</v>
      </c>
      <c r="B69" s="7" t="s">
        <v>185</v>
      </c>
      <c r="C69" s="8" t="s">
        <v>189</v>
      </c>
      <c r="D69" s="8" t="s">
        <v>190</v>
      </c>
      <c r="E69" s="9" t="s">
        <v>191</v>
      </c>
      <c r="F69" s="6">
        <f>IF(D69="",0,LEN(TRIM(D69))-LEN(SUBSTITUTE(TRIM(D69)," ",""))+1)</f>
        <v>9</v>
      </c>
    </row>
    <row r="70" spans="1:6" ht="23.85">
      <c r="A70" s="2">
        <v>69</v>
      </c>
      <c r="B70" s="3" t="s">
        <v>185</v>
      </c>
      <c r="C70" s="4" t="s">
        <v>192</v>
      </c>
      <c r="D70" s="4" t="s">
        <v>193</v>
      </c>
      <c r="E70" s="5" t="s">
        <v>194</v>
      </c>
      <c r="F70" s="2">
        <f>IF(D70="",0,LEN(TRIM(D70))-LEN(SUBSTITUTE(TRIM(D70)," ",""))+1)</f>
        <v>17</v>
      </c>
    </row>
    <row r="71" spans="1:6">
      <c r="A71" s="6">
        <v>70</v>
      </c>
      <c r="B71" s="7" t="s">
        <v>185</v>
      </c>
      <c r="C71" s="8" t="s">
        <v>195</v>
      </c>
      <c r="D71" s="8" t="s">
        <v>196</v>
      </c>
      <c r="E71" s="9" t="s">
        <v>107</v>
      </c>
      <c r="F71" s="6">
        <f>IF(D71="",0,LEN(TRIM(D71))-LEN(SUBSTITUTE(TRIM(D71)," ",""))+1)</f>
        <v>13</v>
      </c>
    </row>
    <row r="72" spans="1:6" ht="23.85">
      <c r="A72" s="2">
        <v>71</v>
      </c>
      <c r="B72" s="3" t="s">
        <v>185</v>
      </c>
      <c r="C72" s="4" t="s">
        <v>197</v>
      </c>
      <c r="D72" s="4" t="s">
        <v>198</v>
      </c>
      <c r="E72" s="5" t="s">
        <v>199</v>
      </c>
      <c r="F72" s="2">
        <f>IF(D72="",0,LEN(TRIM(D72))-LEN(SUBSTITUTE(TRIM(D72)," ",""))+1)</f>
        <v>16</v>
      </c>
    </row>
    <row r="73" spans="1:6">
      <c r="A73" s="6">
        <v>72</v>
      </c>
      <c r="B73" s="7" t="s">
        <v>185</v>
      </c>
      <c r="C73" s="8" t="s">
        <v>200</v>
      </c>
      <c r="D73" s="8" t="s">
        <v>201</v>
      </c>
      <c r="E73" s="9" t="s">
        <v>202</v>
      </c>
      <c r="F73" s="6">
        <f>IF(D73="",0,LEN(TRIM(D73))-LEN(SUBSTITUTE(TRIM(D73)," ",""))+1)</f>
        <v>13</v>
      </c>
    </row>
    <row r="74" spans="1:6">
      <c r="A74" s="2">
        <v>73</v>
      </c>
      <c r="B74" s="3" t="s">
        <v>185</v>
      </c>
      <c r="C74" s="4" t="s">
        <v>203</v>
      </c>
      <c r="D74" s="4" t="s">
        <v>204</v>
      </c>
      <c r="E74" s="5" t="s">
        <v>125</v>
      </c>
      <c r="F74" s="2">
        <f>IF(D74="",0,LEN(TRIM(D74))-LEN(SUBSTITUTE(TRIM(D74)," ",""))+1)</f>
        <v>17</v>
      </c>
    </row>
    <row r="75" spans="1:6" ht="23.85">
      <c r="A75" s="6">
        <v>74</v>
      </c>
      <c r="B75" s="7" t="s">
        <v>205</v>
      </c>
      <c r="C75" s="8" t="s">
        <v>206</v>
      </c>
      <c r="D75" s="8" t="s">
        <v>207</v>
      </c>
      <c r="E75" s="9" t="s">
        <v>208</v>
      </c>
      <c r="F75" s="6">
        <f>IF(D75="",0,LEN(TRIM(D75))-LEN(SUBSTITUTE(TRIM(D75)," ",""))+1)</f>
        <v>15</v>
      </c>
    </row>
    <row r="76" spans="1:6" ht="23.85">
      <c r="A76" s="2">
        <v>75</v>
      </c>
      <c r="B76" s="3" t="s">
        <v>205</v>
      </c>
      <c r="C76" s="4" t="s">
        <v>209</v>
      </c>
      <c r="D76" s="4" t="s">
        <v>210</v>
      </c>
      <c r="E76" s="5" t="s">
        <v>211</v>
      </c>
      <c r="F76" s="2">
        <f>IF(D76="",0,LEN(TRIM(D76))-LEN(SUBSTITUTE(TRIM(D76)," ",""))+1)</f>
        <v>16</v>
      </c>
    </row>
    <row r="77" spans="1:6" ht="23.85">
      <c r="A77" s="6">
        <v>76</v>
      </c>
      <c r="B77" s="7" t="s">
        <v>205</v>
      </c>
      <c r="C77" s="8" t="s">
        <v>212</v>
      </c>
      <c r="D77" s="8" t="s">
        <v>213</v>
      </c>
      <c r="E77" s="9" t="s">
        <v>184</v>
      </c>
      <c r="F77" s="6">
        <f>IF(D77="",0,LEN(TRIM(D77))-LEN(SUBSTITUTE(TRIM(D77)," ",""))+1)</f>
        <v>19</v>
      </c>
    </row>
    <row r="78" spans="1:6" ht="23.85">
      <c r="A78" s="2">
        <v>77</v>
      </c>
      <c r="B78" s="3" t="s">
        <v>205</v>
      </c>
      <c r="C78" s="4" t="s">
        <v>214</v>
      </c>
      <c r="D78" s="4" t="s">
        <v>215</v>
      </c>
      <c r="E78" s="5" t="s">
        <v>184</v>
      </c>
      <c r="F78" s="2">
        <f>IF(D78="",0,LEN(TRIM(D78))-LEN(SUBSTITUTE(TRIM(D78)," ",""))+1)</f>
        <v>12</v>
      </c>
    </row>
    <row r="79" spans="1:6" ht="23.85">
      <c r="A79" s="6">
        <v>78</v>
      </c>
      <c r="B79" s="7" t="s">
        <v>205</v>
      </c>
      <c r="C79" s="8" t="s">
        <v>216</v>
      </c>
      <c r="D79" s="8" t="s">
        <v>217</v>
      </c>
      <c r="E79" s="9" t="s">
        <v>184</v>
      </c>
      <c r="F79" s="6">
        <f>IF(D79="",0,LEN(TRIM(D79))-LEN(SUBSTITUTE(TRIM(D79)," ",""))+1)</f>
        <v>17</v>
      </c>
    </row>
    <row r="80" spans="1:6" ht="23.85">
      <c r="A80" s="2">
        <v>79</v>
      </c>
      <c r="B80" s="3" t="s">
        <v>205</v>
      </c>
      <c r="C80" s="4" t="s">
        <v>218</v>
      </c>
      <c r="D80" s="4" t="s">
        <v>219</v>
      </c>
      <c r="E80" s="5" t="s">
        <v>220</v>
      </c>
      <c r="F80" s="2">
        <f>IF(D80="",0,LEN(TRIM(D80))-LEN(SUBSTITUTE(TRIM(D80)," ",""))+1)</f>
        <v>13</v>
      </c>
    </row>
    <row r="81" spans="1:6" ht="23.85">
      <c r="A81" s="6">
        <v>80</v>
      </c>
      <c r="B81" s="7" t="s">
        <v>205</v>
      </c>
      <c r="C81" s="8" t="s">
        <v>221</v>
      </c>
      <c r="D81" s="8" t="s">
        <v>222</v>
      </c>
      <c r="E81" s="9" t="s">
        <v>223</v>
      </c>
      <c r="F81" s="6">
        <f>IF(D81="",0,LEN(TRIM(D81))-LEN(SUBSTITUTE(TRIM(D81)," ",""))+1)</f>
        <v>21</v>
      </c>
    </row>
    <row r="82" spans="1:6" ht="23.85">
      <c r="A82" s="2">
        <v>81</v>
      </c>
      <c r="B82" s="3" t="s">
        <v>205</v>
      </c>
      <c r="C82" s="4" t="s">
        <v>224</v>
      </c>
      <c r="D82" s="4" t="s">
        <v>225</v>
      </c>
      <c r="E82" s="5" t="s">
        <v>223</v>
      </c>
      <c r="F82" s="2">
        <f>IF(D82="",0,LEN(TRIM(D82))-LEN(SUBSTITUTE(TRIM(D82)," ",""))+1)</f>
        <v>23</v>
      </c>
    </row>
    <row r="83" spans="1:6" ht="23.85">
      <c r="A83" s="6">
        <v>82</v>
      </c>
      <c r="B83" s="7" t="s">
        <v>205</v>
      </c>
      <c r="C83" s="8" t="s">
        <v>226</v>
      </c>
      <c r="D83" s="8" t="s">
        <v>227</v>
      </c>
      <c r="E83" s="9" t="s">
        <v>202</v>
      </c>
      <c r="F83" s="6">
        <f>IF(D83="",0,LEN(TRIM(D83))-LEN(SUBSTITUTE(TRIM(D83)," ",""))+1)</f>
        <v>18</v>
      </c>
    </row>
    <row r="84" spans="1:6" ht="23.85">
      <c r="A84" s="2">
        <v>83</v>
      </c>
      <c r="B84" s="3" t="s">
        <v>205</v>
      </c>
      <c r="C84" s="4" t="s">
        <v>228</v>
      </c>
      <c r="D84" s="4" t="s">
        <v>229</v>
      </c>
      <c r="E84" s="5" t="s">
        <v>230</v>
      </c>
      <c r="F84" s="2">
        <f>IF(D84="",0,LEN(TRIM(D84))-LEN(SUBSTITUTE(TRIM(D84)," ",""))+1)</f>
        <v>15</v>
      </c>
    </row>
    <row r="85" spans="1:6" ht="23.85">
      <c r="A85" s="6">
        <v>84</v>
      </c>
      <c r="B85" s="7" t="s">
        <v>231</v>
      </c>
      <c r="C85" s="8" t="s">
        <v>232</v>
      </c>
      <c r="D85" s="8" t="s">
        <v>233</v>
      </c>
      <c r="E85" s="9" t="s">
        <v>234</v>
      </c>
      <c r="F85" s="6">
        <f>IF(D85="",0,LEN(TRIM(D85))-LEN(SUBSTITUTE(TRIM(D85)," ",""))+1)</f>
        <v>20</v>
      </c>
    </row>
    <row r="86" spans="1:6" ht="23.85">
      <c r="A86" s="2">
        <v>85</v>
      </c>
      <c r="B86" s="3" t="s">
        <v>231</v>
      </c>
      <c r="C86" s="4" t="s">
        <v>235</v>
      </c>
      <c r="D86" s="4" t="s">
        <v>236</v>
      </c>
      <c r="E86" s="5" t="s">
        <v>237</v>
      </c>
      <c r="F86" s="2">
        <f>IF(D86="",0,LEN(TRIM(D86))-LEN(SUBSTITUTE(TRIM(D86)," ",""))+1)</f>
        <v>16</v>
      </c>
    </row>
    <row r="87" spans="1:6">
      <c r="A87" s="6">
        <v>86</v>
      </c>
      <c r="B87" s="7" t="s">
        <v>231</v>
      </c>
      <c r="C87" s="8" t="s">
        <v>238</v>
      </c>
      <c r="D87" s="8" t="s">
        <v>239</v>
      </c>
      <c r="E87" s="9" t="s">
        <v>237</v>
      </c>
      <c r="F87" s="6">
        <f>IF(D87="",0,LEN(TRIM(D87))-LEN(SUBSTITUTE(TRIM(D87)," ",""))+1)</f>
        <v>8</v>
      </c>
    </row>
    <row r="88" spans="1:6" ht="23.85">
      <c r="A88" s="2">
        <v>87</v>
      </c>
      <c r="B88" s="3" t="s">
        <v>231</v>
      </c>
      <c r="C88" s="4" t="s">
        <v>240</v>
      </c>
      <c r="D88" s="4" t="s">
        <v>241</v>
      </c>
      <c r="E88" s="5" t="s">
        <v>237</v>
      </c>
      <c r="F88" s="2">
        <f>IF(D88="",0,LEN(TRIM(D88))-LEN(SUBSTITUTE(TRIM(D88)," ",""))+1)</f>
        <v>16</v>
      </c>
    </row>
    <row r="89" spans="1:6" ht="23.85">
      <c r="A89" s="6">
        <v>88</v>
      </c>
      <c r="B89" s="7" t="s">
        <v>231</v>
      </c>
      <c r="C89" s="8" t="s">
        <v>242</v>
      </c>
      <c r="D89" s="8" t="s">
        <v>243</v>
      </c>
      <c r="E89" s="9" t="s">
        <v>244</v>
      </c>
      <c r="F89" s="6">
        <f>IF(D89="",0,LEN(TRIM(D89))-LEN(SUBSTITUTE(TRIM(D89)," ",""))+1)</f>
        <v>18</v>
      </c>
    </row>
    <row r="90" spans="1:6" ht="23.85">
      <c r="A90" s="2">
        <v>89</v>
      </c>
      <c r="B90" s="3" t="s">
        <v>231</v>
      </c>
      <c r="C90" s="4" t="s">
        <v>245</v>
      </c>
      <c r="D90" s="4" t="s">
        <v>246</v>
      </c>
      <c r="E90" s="5" t="s">
        <v>244</v>
      </c>
      <c r="F90" s="2">
        <f>IF(D90="",0,LEN(TRIM(D90))-LEN(SUBSTITUTE(TRIM(D90)," ",""))+1)</f>
        <v>22</v>
      </c>
    </row>
    <row r="91" spans="1:6" ht="23.85">
      <c r="A91" s="6">
        <v>90</v>
      </c>
      <c r="B91" s="7" t="s">
        <v>231</v>
      </c>
      <c r="C91" s="8" t="s">
        <v>247</v>
      </c>
      <c r="D91" s="8" t="s">
        <v>248</v>
      </c>
      <c r="E91" s="9" t="s">
        <v>244</v>
      </c>
      <c r="F91" s="6">
        <f>IF(D91="",0,LEN(TRIM(D91))-LEN(SUBSTITUTE(TRIM(D91)," ",""))+1)</f>
        <v>14</v>
      </c>
    </row>
    <row r="92" spans="1:6" ht="23.85">
      <c r="A92" s="2">
        <v>91</v>
      </c>
      <c r="B92" s="3" t="s">
        <v>231</v>
      </c>
      <c r="C92" s="4" t="s">
        <v>249</v>
      </c>
      <c r="D92" s="4" t="s">
        <v>250</v>
      </c>
      <c r="E92" s="5" t="s">
        <v>251</v>
      </c>
      <c r="F92" s="2">
        <f>IF(D92="",0,LEN(TRIM(D92))-LEN(SUBSTITUTE(TRIM(D92)," ",""))+1)</f>
        <v>19</v>
      </c>
    </row>
    <row r="93" spans="1:6" ht="23.85">
      <c r="A93" s="6">
        <v>92</v>
      </c>
      <c r="B93" s="7" t="s">
        <v>231</v>
      </c>
      <c r="C93" s="8" t="s">
        <v>252</v>
      </c>
      <c r="D93" s="8" t="s">
        <v>253</v>
      </c>
      <c r="E93" s="9" t="s">
        <v>254</v>
      </c>
      <c r="F93" s="6">
        <f>IF(D93="",0,LEN(TRIM(D93))-LEN(SUBSTITUTE(TRIM(D93)," ",""))+1)</f>
        <v>16</v>
      </c>
    </row>
    <row r="94" spans="1:6">
      <c r="A94" s="2">
        <v>93</v>
      </c>
      <c r="B94" s="3" t="s">
        <v>231</v>
      </c>
      <c r="C94" s="4" t="s">
        <v>255</v>
      </c>
      <c r="D94" s="4" t="s">
        <v>256</v>
      </c>
      <c r="E94" s="5" t="s">
        <v>257</v>
      </c>
      <c r="F94" s="2">
        <f>IF(D94="",0,LEN(TRIM(D94))-LEN(SUBSTITUTE(TRIM(D94)," ",""))+1)</f>
        <v>10</v>
      </c>
    </row>
    <row r="95" spans="1:6" ht="23.85">
      <c r="A95" s="6">
        <v>94</v>
      </c>
      <c r="B95" s="7" t="s">
        <v>231</v>
      </c>
      <c r="C95" s="8" t="s">
        <v>258</v>
      </c>
      <c r="D95" s="8" t="s">
        <v>259</v>
      </c>
      <c r="E95" s="9" t="s">
        <v>260</v>
      </c>
      <c r="F95" s="6">
        <f>IF(D95="",0,LEN(TRIM(D95))-LEN(SUBSTITUTE(TRIM(D95)," ",""))+1)</f>
        <v>16</v>
      </c>
    </row>
    <row r="96" spans="1:6" ht="23.85">
      <c r="A96" s="2">
        <v>95</v>
      </c>
      <c r="B96" s="3" t="s">
        <v>231</v>
      </c>
      <c r="C96" s="4" t="s">
        <v>261</v>
      </c>
      <c r="D96" s="4" t="s">
        <v>262</v>
      </c>
      <c r="E96" s="5" t="s">
        <v>92</v>
      </c>
      <c r="F96" s="2">
        <f>IF(D96="",0,LEN(TRIM(D96))-LEN(SUBSTITUTE(TRIM(D96)," ",""))+1)</f>
        <v>21</v>
      </c>
    </row>
    <row r="97" spans="1:6" ht="23.85">
      <c r="A97" s="6">
        <v>96</v>
      </c>
      <c r="B97" s="7" t="s">
        <v>231</v>
      </c>
      <c r="C97" s="8" t="s">
        <v>263</v>
      </c>
      <c r="D97" s="8" t="s">
        <v>264</v>
      </c>
      <c r="E97" s="9" t="s">
        <v>92</v>
      </c>
      <c r="F97" s="6">
        <f>IF(D97="",0,LEN(TRIM(D97))-LEN(SUBSTITUTE(TRIM(D97)," ",""))+1)</f>
        <v>15</v>
      </c>
    </row>
    <row r="98" spans="1:6">
      <c r="A98" s="2">
        <v>97</v>
      </c>
      <c r="B98" s="3" t="s">
        <v>231</v>
      </c>
      <c r="C98" s="4" t="s">
        <v>265</v>
      </c>
      <c r="D98" s="4" t="s">
        <v>266</v>
      </c>
      <c r="E98" s="5" t="s">
        <v>267</v>
      </c>
      <c r="F98" s="2">
        <f>IF(D98="",0,LEN(TRIM(D98))-LEN(SUBSTITUTE(TRIM(D98)," ",""))+1)</f>
        <v>8</v>
      </c>
    </row>
    <row r="99" spans="1:6" ht="23.85">
      <c r="A99" s="6">
        <v>98</v>
      </c>
      <c r="B99" s="7" t="s">
        <v>231</v>
      </c>
      <c r="C99" s="8" t="s">
        <v>268</v>
      </c>
      <c r="D99" s="8" t="s">
        <v>269</v>
      </c>
      <c r="E99" s="9" t="s">
        <v>270</v>
      </c>
      <c r="F99" s="6">
        <f>IF(D99="",0,LEN(TRIM(D99))-LEN(SUBSTITUTE(TRIM(D99)," ",""))+1)</f>
        <v>18</v>
      </c>
    </row>
    <row r="100" spans="1:6" ht="23.85">
      <c r="A100" s="2">
        <v>99</v>
      </c>
      <c r="B100" s="3" t="s">
        <v>231</v>
      </c>
      <c r="C100" s="4" t="s">
        <v>271</v>
      </c>
      <c r="D100" s="4" t="s">
        <v>272</v>
      </c>
      <c r="E100" s="5" t="s">
        <v>273</v>
      </c>
      <c r="F100" s="2">
        <f>IF(D100="",0,LEN(TRIM(D100))-LEN(SUBSTITUTE(TRIM(D100)," ",""))+1)</f>
        <v>16</v>
      </c>
    </row>
    <row r="101" spans="1:6" ht="23.85">
      <c r="A101" s="6">
        <v>100</v>
      </c>
      <c r="B101" s="7" t="s">
        <v>231</v>
      </c>
      <c r="C101" s="8" t="s">
        <v>274</v>
      </c>
      <c r="D101" s="8" t="s">
        <v>275</v>
      </c>
      <c r="E101" s="9" t="s">
        <v>276</v>
      </c>
      <c r="F101" s="6">
        <f>IF(D101="",0,LEN(TRIM(D101))-LEN(SUBSTITUTE(TRIM(D101)," ",""))+1)</f>
        <v>18</v>
      </c>
    </row>
    <row r="102" spans="1:6" ht="23.85">
      <c r="A102" s="2">
        <v>101</v>
      </c>
      <c r="B102" s="3" t="s">
        <v>231</v>
      </c>
      <c r="C102" s="4" t="s">
        <v>277</v>
      </c>
      <c r="D102" s="4" t="s">
        <v>278</v>
      </c>
      <c r="E102" s="5" t="s">
        <v>279</v>
      </c>
      <c r="F102" s="2">
        <f>IF(D102="",0,LEN(TRIM(D102))-LEN(SUBSTITUTE(TRIM(D102)," ",""))+1)</f>
        <v>16</v>
      </c>
    </row>
    <row r="103" spans="1:6" ht="23.85">
      <c r="A103" s="6">
        <v>102</v>
      </c>
      <c r="B103" s="7" t="s">
        <v>231</v>
      </c>
      <c r="C103" s="8" t="s">
        <v>280</v>
      </c>
      <c r="D103" s="8" t="s">
        <v>281</v>
      </c>
      <c r="E103" s="9" t="s">
        <v>282</v>
      </c>
      <c r="F103" s="6">
        <f>IF(D103="",0,LEN(TRIM(D103))-LEN(SUBSTITUTE(TRIM(D103)," ",""))+1)</f>
        <v>14</v>
      </c>
    </row>
    <row r="104" spans="1:6" ht="23.85">
      <c r="A104" s="2">
        <v>103</v>
      </c>
      <c r="B104" s="3" t="s">
        <v>283</v>
      </c>
      <c r="C104" s="4" t="s">
        <v>284</v>
      </c>
      <c r="D104" s="4" t="s">
        <v>285</v>
      </c>
      <c r="E104" s="5" t="s">
        <v>220</v>
      </c>
      <c r="F104" s="2">
        <f>IF(D104="",0,LEN(TRIM(D104))-LEN(SUBSTITUTE(TRIM(D104)," ",""))+1)</f>
        <v>23</v>
      </c>
    </row>
    <row r="105" spans="1:6">
      <c r="A105" s="6">
        <v>104</v>
      </c>
      <c r="B105" s="7" t="s">
        <v>283</v>
      </c>
      <c r="C105" s="8" t="s">
        <v>286</v>
      </c>
      <c r="D105" s="8" t="s">
        <v>287</v>
      </c>
      <c r="E105" s="9" t="s">
        <v>220</v>
      </c>
      <c r="F105" s="6">
        <f>IF(D105="",0,LEN(TRIM(D105))-LEN(SUBSTITUTE(TRIM(D105)," ",""))+1)</f>
        <v>8</v>
      </c>
    </row>
    <row r="106" spans="1:6" ht="23.85">
      <c r="A106" s="2">
        <v>105</v>
      </c>
      <c r="B106" s="3" t="s">
        <v>283</v>
      </c>
      <c r="C106" s="4" t="s">
        <v>288</v>
      </c>
      <c r="D106" s="4" t="s">
        <v>289</v>
      </c>
      <c r="E106" s="5" t="s">
        <v>290</v>
      </c>
      <c r="F106" s="2">
        <f>IF(D106="",0,LEN(TRIM(D106))-LEN(SUBSTITUTE(TRIM(D106)," ",""))+1)</f>
        <v>23</v>
      </c>
    </row>
    <row r="107" spans="1:6" ht="23.85">
      <c r="A107" s="6">
        <v>106</v>
      </c>
      <c r="B107" s="7" t="s">
        <v>283</v>
      </c>
      <c r="C107" s="8" t="s">
        <v>291</v>
      </c>
      <c r="D107" s="8" t="s">
        <v>292</v>
      </c>
      <c r="E107" s="9" t="s">
        <v>293</v>
      </c>
      <c r="F107" s="6">
        <f>IF(D107="",0,LEN(TRIM(D107))-LEN(SUBSTITUTE(TRIM(D107)," ",""))+1)</f>
        <v>20</v>
      </c>
    </row>
    <row r="108" spans="1:6">
      <c r="A108" s="2">
        <v>107</v>
      </c>
      <c r="B108" s="3" t="s">
        <v>283</v>
      </c>
      <c r="C108" s="4" t="s">
        <v>294</v>
      </c>
      <c r="D108" s="4" t="s">
        <v>295</v>
      </c>
      <c r="E108" s="5" t="s">
        <v>293</v>
      </c>
      <c r="F108" s="2">
        <f>IF(D108="",0,LEN(TRIM(D108))-LEN(SUBSTITUTE(TRIM(D108)," ",""))+1)</f>
        <v>10</v>
      </c>
    </row>
    <row r="109" spans="1:6" ht="23.85">
      <c r="A109" s="6">
        <v>108</v>
      </c>
      <c r="B109" s="7" t="s">
        <v>283</v>
      </c>
      <c r="C109" s="8" t="s">
        <v>296</v>
      </c>
      <c r="D109" s="8" t="s">
        <v>297</v>
      </c>
      <c r="E109" s="9" t="s">
        <v>298</v>
      </c>
      <c r="F109" s="6">
        <f>IF(D109="",0,LEN(TRIM(D109))-LEN(SUBSTITUTE(TRIM(D109)," ",""))+1)</f>
        <v>20</v>
      </c>
    </row>
    <row r="110" spans="1:6" ht="23.85">
      <c r="A110" s="2">
        <v>109</v>
      </c>
      <c r="B110" s="3" t="s">
        <v>283</v>
      </c>
      <c r="C110" s="4" t="s">
        <v>299</v>
      </c>
      <c r="D110" s="4" t="s">
        <v>300</v>
      </c>
      <c r="E110" s="5" t="s">
        <v>301</v>
      </c>
      <c r="F110" s="2">
        <f>IF(D110="",0,LEN(TRIM(D110))-LEN(SUBSTITUTE(TRIM(D110)," ",""))+1)</f>
        <v>21</v>
      </c>
    </row>
    <row r="111" spans="1:6" ht="23.85">
      <c r="A111" s="6">
        <v>110</v>
      </c>
      <c r="B111" s="7" t="s">
        <v>283</v>
      </c>
      <c r="C111" s="8" t="s">
        <v>302</v>
      </c>
      <c r="D111" s="8" t="s">
        <v>303</v>
      </c>
      <c r="E111" s="9" t="s">
        <v>304</v>
      </c>
      <c r="F111" s="6">
        <f>IF(D111="",0,LEN(TRIM(D111))-LEN(SUBSTITUTE(TRIM(D111)," ",""))+1)</f>
        <v>17</v>
      </c>
    </row>
    <row r="112" spans="1:6" ht="23.85">
      <c r="A112" s="2">
        <v>111</v>
      </c>
      <c r="B112" s="3" t="s">
        <v>283</v>
      </c>
      <c r="C112" s="4" t="s">
        <v>305</v>
      </c>
      <c r="D112" s="4" t="s">
        <v>306</v>
      </c>
      <c r="E112" s="5" t="s">
        <v>304</v>
      </c>
      <c r="F112" s="2">
        <f>IF(D112="",0,LEN(TRIM(D112))-LEN(SUBSTITUTE(TRIM(D112)," ",""))+1)</f>
        <v>15</v>
      </c>
    </row>
    <row r="113" spans="1:6">
      <c r="A113" s="6">
        <v>112</v>
      </c>
      <c r="B113" s="7" t="s">
        <v>283</v>
      </c>
      <c r="C113" s="8" t="s">
        <v>307</v>
      </c>
      <c r="D113" s="8" t="s">
        <v>308</v>
      </c>
      <c r="E113" s="9" t="s">
        <v>304</v>
      </c>
      <c r="F113" s="6">
        <f>IF(D113="",0,LEN(TRIM(D113))-LEN(SUBSTITUTE(TRIM(D113)," ",""))+1)</f>
        <v>10</v>
      </c>
    </row>
    <row r="114" spans="1:6">
      <c r="A114" s="2">
        <v>113</v>
      </c>
      <c r="B114" s="3" t="s">
        <v>283</v>
      </c>
      <c r="C114" s="4" t="s">
        <v>309</v>
      </c>
      <c r="D114" s="4" t="s">
        <v>310</v>
      </c>
      <c r="E114" s="5" t="s">
        <v>304</v>
      </c>
      <c r="F114" s="2">
        <f>IF(D114="",0,LEN(TRIM(D114))-LEN(SUBSTITUTE(TRIM(D114)," ",""))+1)</f>
        <v>10</v>
      </c>
    </row>
    <row r="115" spans="1:6">
      <c r="A115" s="6">
        <v>114</v>
      </c>
      <c r="B115" s="7" t="s">
        <v>283</v>
      </c>
      <c r="C115" s="8" t="s">
        <v>311</v>
      </c>
      <c r="D115" s="8" t="s">
        <v>312</v>
      </c>
      <c r="E115" s="9" t="s">
        <v>304</v>
      </c>
      <c r="F115" s="6">
        <f>IF(D115="",0,LEN(TRIM(D115))-LEN(SUBSTITUTE(TRIM(D115)," ",""))+1)</f>
        <v>8</v>
      </c>
    </row>
    <row r="116" spans="1:6" ht="23.85">
      <c r="A116" s="2">
        <v>115</v>
      </c>
      <c r="B116" s="3" t="s">
        <v>283</v>
      </c>
      <c r="C116" s="4" t="s">
        <v>313</v>
      </c>
      <c r="D116" s="4" t="s">
        <v>314</v>
      </c>
      <c r="E116" s="5" t="s">
        <v>315</v>
      </c>
      <c r="F116" s="2">
        <f>IF(D116="",0,LEN(TRIM(D116))-LEN(SUBSTITUTE(TRIM(D116)," ",""))+1)</f>
        <v>20</v>
      </c>
    </row>
    <row r="117" spans="1:6" ht="23.85">
      <c r="A117" s="6">
        <v>116</v>
      </c>
      <c r="B117" s="7" t="s">
        <v>283</v>
      </c>
      <c r="C117" s="8" t="s">
        <v>316</v>
      </c>
      <c r="D117" s="8" t="s">
        <v>317</v>
      </c>
      <c r="E117" s="9" t="s">
        <v>318</v>
      </c>
      <c r="F117" s="6">
        <f>IF(D117="",0,LEN(TRIM(D117))-LEN(SUBSTITUTE(TRIM(D117)," ",""))+1)</f>
        <v>13</v>
      </c>
    </row>
    <row r="118" spans="1:6">
      <c r="A118" s="2">
        <v>117</v>
      </c>
      <c r="B118" s="3" t="s">
        <v>283</v>
      </c>
      <c r="C118" s="4" t="s">
        <v>319</v>
      </c>
      <c r="D118" s="4" t="s">
        <v>320</v>
      </c>
      <c r="E118" s="5" t="s">
        <v>321</v>
      </c>
      <c r="F118" s="2">
        <f>IF(D118="",0,LEN(TRIM(D118))-LEN(SUBSTITUTE(TRIM(D118)," ",""))+1)</f>
        <v>10</v>
      </c>
    </row>
    <row r="119" spans="1:6" ht="23.85">
      <c r="A119" s="6">
        <v>118</v>
      </c>
      <c r="B119" s="7" t="s">
        <v>322</v>
      </c>
      <c r="C119" s="8" t="s">
        <v>323</v>
      </c>
      <c r="D119" s="8" t="s">
        <v>324</v>
      </c>
      <c r="E119" s="9" t="s">
        <v>325</v>
      </c>
      <c r="F119" s="6">
        <f>IF(D119="",0,LEN(TRIM(D119))-LEN(SUBSTITUTE(TRIM(D119)," ",""))+1)</f>
        <v>19</v>
      </c>
    </row>
    <row r="120" spans="1:6" ht="23.85">
      <c r="A120" s="2">
        <v>119</v>
      </c>
      <c r="B120" s="3" t="s">
        <v>322</v>
      </c>
      <c r="C120" s="4" t="s">
        <v>326</v>
      </c>
      <c r="D120" s="4" t="s">
        <v>327</v>
      </c>
      <c r="E120" s="5" t="s">
        <v>328</v>
      </c>
      <c r="F120" s="2">
        <f>IF(D120="",0,LEN(TRIM(D120))-LEN(SUBSTITUTE(TRIM(D120)," ",""))+1)</f>
        <v>21</v>
      </c>
    </row>
    <row r="121" spans="1:6">
      <c r="A121" s="6">
        <v>120</v>
      </c>
      <c r="B121" s="7" t="s">
        <v>322</v>
      </c>
      <c r="C121" s="8" t="s">
        <v>329</v>
      </c>
      <c r="D121" s="8" t="s">
        <v>330</v>
      </c>
      <c r="E121" s="9" t="s">
        <v>328</v>
      </c>
      <c r="F121" s="6">
        <f>IF(D121="",0,LEN(TRIM(D121))-LEN(SUBSTITUTE(TRIM(D121)," ",""))+1)</f>
        <v>15</v>
      </c>
    </row>
    <row r="122" spans="1:6" ht="23.85">
      <c r="A122" s="2">
        <v>121</v>
      </c>
      <c r="B122" s="3" t="s">
        <v>322</v>
      </c>
      <c r="C122" s="4" t="s">
        <v>331</v>
      </c>
      <c r="D122" s="4" t="s">
        <v>332</v>
      </c>
      <c r="E122" s="5" t="s">
        <v>333</v>
      </c>
      <c r="F122" s="2">
        <f>IF(D122="",0,LEN(TRIM(D122))-LEN(SUBSTITUTE(TRIM(D122)," ",""))+1)</f>
        <v>24</v>
      </c>
    </row>
    <row r="123" spans="1:6">
      <c r="A123" s="6">
        <v>122</v>
      </c>
      <c r="B123" s="7" t="s">
        <v>322</v>
      </c>
      <c r="C123" s="8" t="s">
        <v>334</v>
      </c>
      <c r="D123" s="8" t="s">
        <v>335</v>
      </c>
      <c r="E123" s="9" t="s">
        <v>333</v>
      </c>
      <c r="F123" s="6">
        <f>IF(D123="",0,LEN(TRIM(D123))-LEN(SUBSTITUTE(TRIM(D123)," ",""))+1)</f>
        <v>13</v>
      </c>
    </row>
    <row r="124" spans="1:6" ht="22.35">
      <c r="A124" s="2">
        <v>123</v>
      </c>
      <c r="B124" s="3" t="s">
        <v>322</v>
      </c>
      <c r="C124" s="4" t="s">
        <v>336</v>
      </c>
      <c r="D124" s="4" t="s">
        <v>337</v>
      </c>
      <c r="E124" s="5" t="s">
        <v>338</v>
      </c>
      <c r="F124" s="2">
        <f>IF(D124="",0,LEN(TRIM(D124))-LEN(SUBSTITUTE(TRIM(D124)," ",""))+1)</f>
        <v>10</v>
      </c>
    </row>
    <row r="125" spans="1:6" ht="23.85">
      <c r="A125" s="6">
        <v>124</v>
      </c>
      <c r="B125" s="7" t="s">
        <v>322</v>
      </c>
      <c r="C125" s="8" t="s">
        <v>339</v>
      </c>
      <c r="D125" s="8" t="s">
        <v>340</v>
      </c>
      <c r="E125" s="9" t="s">
        <v>341</v>
      </c>
      <c r="F125" s="6">
        <f>IF(D125="",0,LEN(TRIM(D125))-LEN(SUBSTITUTE(TRIM(D125)," ",""))+1)</f>
        <v>20</v>
      </c>
    </row>
    <row r="126" spans="1:6" ht="23.85">
      <c r="A126" s="2">
        <v>125</v>
      </c>
      <c r="B126" s="3" t="s">
        <v>322</v>
      </c>
      <c r="C126" s="4" t="s">
        <v>342</v>
      </c>
      <c r="D126" s="4" t="s">
        <v>343</v>
      </c>
      <c r="E126" s="5" t="s">
        <v>341</v>
      </c>
      <c r="F126" s="2">
        <f>IF(D126="",0,LEN(TRIM(D126))-LEN(SUBSTITUTE(TRIM(D126)," ",""))+1)</f>
        <v>19</v>
      </c>
    </row>
    <row r="127" spans="1:6" ht="23.85">
      <c r="A127" s="6">
        <v>126</v>
      </c>
      <c r="B127" s="7" t="s">
        <v>322</v>
      </c>
      <c r="C127" s="8" t="s">
        <v>344</v>
      </c>
      <c r="D127" s="8" t="s">
        <v>345</v>
      </c>
      <c r="E127" s="9" t="s">
        <v>341</v>
      </c>
      <c r="F127" s="6">
        <f>IF(D127="",0,LEN(TRIM(D127))-LEN(SUBSTITUTE(TRIM(D127)," ",""))+1)</f>
        <v>17</v>
      </c>
    </row>
    <row r="128" spans="1:6" ht="23.85">
      <c r="A128" s="2">
        <v>127</v>
      </c>
      <c r="B128" s="3" t="s">
        <v>322</v>
      </c>
      <c r="C128" s="4" t="s">
        <v>346</v>
      </c>
      <c r="D128" s="4" t="s">
        <v>347</v>
      </c>
      <c r="E128" s="5" t="s">
        <v>341</v>
      </c>
      <c r="F128" s="2">
        <f>IF(D128="",0,LEN(TRIM(D128))-LEN(SUBSTITUTE(TRIM(D128)," ",""))+1)</f>
        <v>16</v>
      </c>
    </row>
    <row r="129" spans="1:6" ht="23.85">
      <c r="A129" s="6">
        <v>128</v>
      </c>
      <c r="B129" s="7" t="s">
        <v>322</v>
      </c>
      <c r="C129" s="8" t="s">
        <v>348</v>
      </c>
      <c r="D129" s="8" t="s">
        <v>349</v>
      </c>
      <c r="E129" s="9" t="s">
        <v>350</v>
      </c>
      <c r="F129" s="6">
        <f>IF(D129="",0,LEN(TRIM(D129))-LEN(SUBSTITUTE(TRIM(D129)," ",""))+1)</f>
        <v>15</v>
      </c>
    </row>
    <row r="130" spans="1:6">
      <c r="A130" s="2">
        <v>129</v>
      </c>
      <c r="B130" s="3" t="s">
        <v>322</v>
      </c>
      <c r="C130" s="4" t="s">
        <v>351</v>
      </c>
      <c r="D130" s="4" t="s">
        <v>352</v>
      </c>
      <c r="E130" s="5" t="s">
        <v>353</v>
      </c>
      <c r="F130" s="2">
        <f>IF(D130="",0,LEN(TRIM(D130))-LEN(SUBSTITUTE(TRIM(D130)," ",""))+1)</f>
        <v>12</v>
      </c>
    </row>
    <row r="131" spans="1:6" ht="23.85">
      <c r="A131" s="6">
        <v>130</v>
      </c>
      <c r="B131" s="7" t="s">
        <v>322</v>
      </c>
      <c r="C131" s="8" t="s">
        <v>354</v>
      </c>
      <c r="D131" s="8" t="s">
        <v>355</v>
      </c>
      <c r="E131" s="9" t="s">
        <v>356</v>
      </c>
      <c r="F131" s="6">
        <f>IF(D131="",0,LEN(TRIM(D131))-LEN(SUBSTITUTE(TRIM(D131)," ",""))+1)</f>
        <v>18</v>
      </c>
    </row>
    <row r="132" spans="1:6" ht="23.85">
      <c r="A132" s="2">
        <v>131</v>
      </c>
      <c r="B132" s="3" t="s">
        <v>322</v>
      </c>
      <c r="C132" s="4" t="s">
        <v>357</v>
      </c>
      <c r="D132" s="4" t="s">
        <v>358</v>
      </c>
      <c r="E132" s="5" t="s">
        <v>359</v>
      </c>
      <c r="F132" s="2">
        <f>IF(D132="",0,LEN(TRIM(D132))-LEN(SUBSTITUTE(TRIM(D132)," ",""))+1)</f>
        <v>13</v>
      </c>
    </row>
    <row r="133" spans="1:6">
      <c r="A133" s="6">
        <v>132</v>
      </c>
      <c r="B133" s="7" t="s">
        <v>322</v>
      </c>
      <c r="C133" s="8" t="s">
        <v>360</v>
      </c>
      <c r="D133" s="8" t="s">
        <v>361</v>
      </c>
      <c r="E133" s="9" t="s">
        <v>362</v>
      </c>
      <c r="F133" s="6">
        <f>IF(D133="",0,LEN(TRIM(D133))-LEN(SUBSTITUTE(TRIM(D133)," ",""))+1)</f>
        <v>15</v>
      </c>
    </row>
    <row r="134" spans="1:6">
      <c r="A134" s="2">
        <v>133</v>
      </c>
      <c r="B134" s="3" t="s">
        <v>322</v>
      </c>
      <c r="C134" s="4" t="s">
        <v>363</v>
      </c>
      <c r="D134" s="4" t="s">
        <v>364</v>
      </c>
      <c r="E134" s="5" t="s">
        <v>365</v>
      </c>
      <c r="F134" s="2">
        <f>IF(D134="",0,LEN(TRIM(D134))-LEN(SUBSTITUTE(TRIM(D134)," ",""))+1)</f>
        <v>10</v>
      </c>
    </row>
    <row r="135" spans="1:6" ht="23.85">
      <c r="A135" s="6">
        <v>134</v>
      </c>
      <c r="B135" s="7" t="s">
        <v>322</v>
      </c>
      <c r="C135" s="8" t="s">
        <v>366</v>
      </c>
      <c r="D135" s="8" t="s">
        <v>367</v>
      </c>
      <c r="E135" s="9" t="s">
        <v>368</v>
      </c>
      <c r="F135" s="6">
        <f>IF(D135="",0,LEN(TRIM(D135))-LEN(SUBSTITUTE(TRIM(D135)," ",""))+1)</f>
        <v>19</v>
      </c>
    </row>
    <row r="136" spans="1:6" ht="23.85">
      <c r="A136" s="2">
        <v>135</v>
      </c>
      <c r="B136" s="3" t="s">
        <v>322</v>
      </c>
      <c r="C136" s="4" t="s">
        <v>369</v>
      </c>
      <c r="D136" s="4" t="s">
        <v>370</v>
      </c>
      <c r="E136" s="5" t="s">
        <v>371</v>
      </c>
      <c r="F136" s="2">
        <f>IF(D136="",0,LEN(TRIM(D136))-LEN(SUBSTITUTE(TRIM(D136)," ",""))+1)</f>
        <v>16</v>
      </c>
    </row>
    <row r="137" spans="1:6" ht="23.85">
      <c r="A137" s="6">
        <v>136</v>
      </c>
      <c r="B137" s="7" t="s">
        <v>322</v>
      </c>
      <c r="C137" s="8" t="s">
        <v>372</v>
      </c>
      <c r="D137" s="8" t="s">
        <v>373</v>
      </c>
      <c r="E137" s="9" t="s">
        <v>374</v>
      </c>
      <c r="F137" s="6">
        <f>IF(D137="",0,LEN(TRIM(D137))-LEN(SUBSTITUTE(TRIM(D137)," ",""))+1)</f>
        <v>14</v>
      </c>
    </row>
    <row r="138" spans="1:6" ht="23.85">
      <c r="A138" s="2">
        <v>137</v>
      </c>
      <c r="B138" s="3" t="s">
        <v>375</v>
      </c>
      <c r="C138" s="4" t="s">
        <v>376</v>
      </c>
      <c r="D138" s="4" t="s">
        <v>377</v>
      </c>
      <c r="E138" s="5" t="s">
        <v>202</v>
      </c>
      <c r="F138" s="2">
        <f>IF(D138="",0,LEN(TRIM(D138))-LEN(SUBSTITUTE(TRIM(D138)," ",""))+1)</f>
        <v>13</v>
      </c>
    </row>
    <row r="139" spans="1:6" ht="23.85">
      <c r="A139" s="6">
        <v>138</v>
      </c>
      <c r="B139" s="7" t="s">
        <v>375</v>
      </c>
      <c r="C139" s="8" t="s">
        <v>378</v>
      </c>
      <c r="D139" s="8" t="s">
        <v>379</v>
      </c>
      <c r="E139" s="9" t="s">
        <v>202</v>
      </c>
      <c r="F139" s="6">
        <f>IF(D139="",0,LEN(TRIM(D139))-LEN(SUBSTITUTE(TRIM(D139)," ",""))+1)</f>
        <v>20</v>
      </c>
    </row>
    <row r="140" spans="1:6" ht="23.85">
      <c r="A140" s="2">
        <v>139</v>
      </c>
      <c r="B140" s="3" t="s">
        <v>375</v>
      </c>
      <c r="C140" s="4" t="s">
        <v>380</v>
      </c>
      <c r="D140" s="4" t="s">
        <v>381</v>
      </c>
      <c r="E140" s="5" t="s">
        <v>202</v>
      </c>
      <c r="F140" s="2">
        <f>IF(D140="",0,LEN(TRIM(D140))-LEN(SUBSTITUTE(TRIM(D140)," ",""))+1)</f>
        <v>17</v>
      </c>
    </row>
    <row r="141" spans="1:6" ht="23.85">
      <c r="A141" s="6">
        <v>140</v>
      </c>
      <c r="B141" s="7" t="s">
        <v>375</v>
      </c>
      <c r="C141" s="8" t="s">
        <v>382</v>
      </c>
      <c r="D141" s="8" t="s">
        <v>383</v>
      </c>
      <c r="E141" s="9" t="s">
        <v>82</v>
      </c>
      <c r="F141" s="6">
        <f>IF(D141="",0,LEN(TRIM(D141))-LEN(SUBSTITUTE(TRIM(D141)," ",""))+1)</f>
        <v>24</v>
      </c>
    </row>
    <row r="142" spans="1:6" ht="23.85">
      <c r="A142" s="2">
        <v>141</v>
      </c>
      <c r="B142" s="3" t="s">
        <v>375</v>
      </c>
      <c r="C142" s="4" t="s">
        <v>384</v>
      </c>
      <c r="D142" s="4" t="s">
        <v>385</v>
      </c>
      <c r="E142" s="5" t="s">
        <v>125</v>
      </c>
      <c r="F142" s="2">
        <f>IF(D142="",0,LEN(TRIM(D142))-LEN(SUBSTITUTE(TRIM(D142)," ",""))+1)</f>
        <v>18</v>
      </c>
    </row>
    <row r="143" spans="1:6" ht="23.85">
      <c r="A143" s="6">
        <v>142</v>
      </c>
      <c r="B143" s="7" t="s">
        <v>375</v>
      </c>
      <c r="C143" s="8" t="s">
        <v>386</v>
      </c>
      <c r="D143" s="8" t="s">
        <v>387</v>
      </c>
      <c r="E143" s="9" t="s">
        <v>388</v>
      </c>
      <c r="F143" s="6">
        <f>IF(D143="",0,LEN(TRIM(D143))-LEN(SUBSTITUTE(TRIM(D143)," ",""))+1)</f>
        <v>20</v>
      </c>
    </row>
    <row r="144" spans="1:6" ht="23.85">
      <c r="A144" s="2">
        <v>143</v>
      </c>
      <c r="B144" s="3" t="s">
        <v>375</v>
      </c>
      <c r="C144" s="4" t="s">
        <v>389</v>
      </c>
      <c r="D144" s="4" t="s">
        <v>390</v>
      </c>
      <c r="E144" s="5" t="s">
        <v>202</v>
      </c>
      <c r="F144" s="2">
        <f>IF(D144="",0,LEN(TRIM(D144))-LEN(SUBSTITUTE(TRIM(D144)," ",""))+1)</f>
        <v>12</v>
      </c>
    </row>
    <row r="145" spans="1:6">
      <c r="A145" s="6">
        <v>144</v>
      </c>
      <c r="B145" s="7" t="s">
        <v>375</v>
      </c>
      <c r="C145" s="8" t="s">
        <v>391</v>
      </c>
      <c r="D145" s="8" t="s">
        <v>392</v>
      </c>
      <c r="E145" s="9" t="s">
        <v>202</v>
      </c>
      <c r="F145" s="6">
        <f>IF(D145="",0,LEN(TRIM(D145))-LEN(SUBSTITUTE(TRIM(D145)," ",""))+1)</f>
        <v>8</v>
      </c>
    </row>
    <row r="146" spans="1:6" ht="23.85">
      <c r="A146" s="2">
        <v>145</v>
      </c>
      <c r="B146" s="3" t="s">
        <v>375</v>
      </c>
      <c r="C146" s="4" t="s">
        <v>393</v>
      </c>
      <c r="D146" s="4" t="s">
        <v>394</v>
      </c>
      <c r="E146" s="5" t="s">
        <v>395</v>
      </c>
      <c r="F146" s="2">
        <f>IF(D146="",0,LEN(TRIM(D146))-LEN(SUBSTITUTE(TRIM(D146)," ",""))+1)</f>
        <v>13</v>
      </c>
    </row>
    <row r="147" spans="1:6">
      <c r="A147" s="6">
        <v>146</v>
      </c>
      <c r="B147" s="7" t="s">
        <v>375</v>
      </c>
      <c r="C147" s="8" t="s">
        <v>396</v>
      </c>
      <c r="D147" s="8" t="s">
        <v>397</v>
      </c>
      <c r="E147" s="9" t="s">
        <v>398</v>
      </c>
      <c r="F147" s="6">
        <f>IF(D147="",0,LEN(TRIM(D147))-LEN(SUBSTITUTE(TRIM(D147)," ",""))+1)</f>
        <v>7</v>
      </c>
    </row>
    <row r="148" spans="1:6">
      <c r="A148" s="2">
        <v>147</v>
      </c>
      <c r="B148" s="3" t="s">
        <v>375</v>
      </c>
      <c r="C148" s="4" t="s">
        <v>399</v>
      </c>
      <c r="D148" s="4" t="s">
        <v>400</v>
      </c>
      <c r="E148" s="5" t="s">
        <v>395</v>
      </c>
      <c r="F148" s="2">
        <f>IF(D148="",0,LEN(TRIM(D148))-LEN(SUBSTITUTE(TRIM(D148)," ",""))+1)</f>
        <v>12</v>
      </c>
    </row>
    <row r="149" spans="1:6" ht="23.85">
      <c r="A149" s="6">
        <v>148</v>
      </c>
      <c r="B149" s="7" t="s">
        <v>375</v>
      </c>
      <c r="C149" s="8" t="s">
        <v>401</v>
      </c>
      <c r="D149" s="8" t="s">
        <v>402</v>
      </c>
      <c r="E149" s="9" t="s">
        <v>395</v>
      </c>
      <c r="F149" s="6">
        <f>IF(D149="",0,LEN(TRIM(D149))-LEN(SUBSTITUTE(TRIM(D149)," ",""))+1)</f>
        <v>17</v>
      </c>
    </row>
    <row r="150" spans="1:6" ht="23.85">
      <c r="A150" s="2">
        <v>149</v>
      </c>
      <c r="B150" s="3" t="s">
        <v>375</v>
      </c>
      <c r="C150" s="4" t="s">
        <v>403</v>
      </c>
      <c r="D150" s="4" t="s">
        <v>404</v>
      </c>
      <c r="E150" s="5" t="s">
        <v>405</v>
      </c>
      <c r="F150" s="2">
        <f>IF(D150="",0,LEN(TRIM(D150))-LEN(SUBSTITUTE(TRIM(D150)," ",""))+1)</f>
        <v>15</v>
      </c>
    </row>
    <row r="151" spans="1:6" ht="35.1">
      <c r="A151" s="6">
        <v>150</v>
      </c>
      <c r="B151" s="7" t="s">
        <v>375</v>
      </c>
      <c r="C151" s="8" t="s">
        <v>406</v>
      </c>
      <c r="D151" s="8" t="s">
        <v>407</v>
      </c>
      <c r="E151" s="9" t="s">
        <v>395</v>
      </c>
      <c r="F151" s="6">
        <f>IF(D151="",0,LEN(TRIM(D151))-LEN(SUBSTITUTE(TRIM(D151)," ",""))+1)</f>
        <v>26</v>
      </c>
    </row>
    <row r="152" spans="1:6" ht="23.85">
      <c r="A152" s="2">
        <v>151</v>
      </c>
      <c r="B152" s="3" t="s">
        <v>408</v>
      </c>
      <c r="C152" s="4" t="s">
        <v>409</v>
      </c>
      <c r="D152" s="4" t="s">
        <v>410</v>
      </c>
      <c r="E152" s="5" t="s">
        <v>411</v>
      </c>
      <c r="F152" s="2">
        <f>IF(D152="",0,LEN(TRIM(D152))-LEN(SUBSTITUTE(TRIM(D152)," ",""))+1)</f>
        <v>16</v>
      </c>
    </row>
    <row r="153" spans="1:6" ht="23.85">
      <c r="A153" s="6">
        <v>152</v>
      </c>
      <c r="B153" s="7" t="s">
        <v>408</v>
      </c>
      <c r="C153" s="8" t="s">
        <v>412</v>
      </c>
      <c r="D153" s="8" t="s">
        <v>413</v>
      </c>
      <c r="E153" s="9" t="s">
        <v>414</v>
      </c>
      <c r="F153" s="6">
        <f>IF(D153="",0,LEN(TRIM(D153))-LEN(SUBSTITUTE(TRIM(D153)," ",""))+1)</f>
        <v>15</v>
      </c>
    </row>
    <row r="154" spans="1:6" ht="23.85">
      <c r="A154" s="2">
        <v>153</v>
      </c>
      <c r="B154" s="3" t="s">
        <v>408</v>
      </c>
      <c r="C154" s="4" t="s">
        <v>415</v>
      </c>
      <c r="D154" s="4" t="s">
        <v>416</v>
      </c>
      <c r="E154" s="5" t="s">
        <v>417</v>
      </c>
      <c r="F154" s="2">
        <f>IF(D154="",0,LEN(TRIM(D154))-LEN(SUBSTITUTE(TRIM(D154)," ",""))+1)</f>
        <v>12</v>
      </c>
    </row>
    <row r="155" spans="1:6" ht="23.85">
      <c r="A155" s="6">
        <v>154</v>
      </c>
      <c r="B155" s="7" t="s">
        <v>408</v>
      </c>
      <c r="C155" s="8" t="s">
        <v>418</v>
      </c>
      <c r="D155" s="8" t="s">
        <v>419</v>
      </c>
      <c r="E155" s="9" t="s">
        <v>420</v>
      </c>
      <c r="F155" s="6">
        <f>IF(D155="",0,LEN(TRIM(D155))-LEN(SUBSTITUTE(TRIM(D155)," ",""))+1)</f>
        <v>15</v>
      </c>
    </row>
    <row r="156" spans="1:6">
      <c r="A156" s="2">
        <v>155</v>
      </c>
      <c r="B156" s="3" t="s">
        <v>408</v>
      </c>
      <c r="C156" s="4" t="s">
        <v>421</v>
      </c>
      <c r="D156" s="4" t="s">
        <v>422</v>
      </c>
      <c r="E156" s="5" t="s">
        <v>423</v>
      </c>
      <c r="F156" s="2">
        <f>IF(D156="",0,LEN(TRIM(D156))-LEN(SUBSTITUTE(TRIM(D156)," ",""))+1)</f>
        <v>11</v>
      </c>
    </row>
    <row r="157" spans="1:6" ht="23.85">
      <c r="A157" s="6">
        <v>156</v>
      </c>
      <c r="B157" s="7" t="s">
        <v>408</v>
      </c>
      <c r="C157" s="8" t="s">
        <v>424</v>
      </c>
      <c r="D157" s="8" t="s">
        <v>425</v>
      </c>
      <c r="E157" s="9" t="s">
        <v>426</v>
      </c>
      <c r="F157" s="6">
        <f>IF(D157="",0,LEN(TRIM(D157))-LEN(SUBSTITUTE(TRIM(D157)," ",""))+1)</f>
        <v>18</v>
      </c>
    </row>
    <row r="158" spans="1:6">
      <c r="A158" s="2">
        <v>157</v>
      </c>
      <c r="B158" s="3" t="s">
        <v>408</v>
      </c>
      <c r="C158" s="4" t="s">
        <v>427</v>
      </c>
      <c r="D158" s="4" t="s">
        <v>428</v>
      </c>
      <c r="E158" s="5" t="s">
        <v>429</v>
      </c>
      <c r="F158" s="2">
        <f>IF(D158="",0,LEN(TRIM(D158))-LEN(SUBSTITUTE(TRIM(D158)," ",""))+1)</f>
        <v>3</v>
      </c>
    </row>
    <row r="159" spans="1:6" ht="23.85">
      <c r="A159" s="6">
        <v>158</v>
      </c>
      <c r="B159" s="7" t="s">
        <v>408</v>
      </c>
      <c r="C159" s="8" t="s">
        <v>430</v>
      </c>
      <c r="D159" s="8" t="s">
        <v>431</v>
      </c>
      <c r="E159" s="9" t="s">
        <v>432</v>
      </c>
      <c r="F159" s="6">
        <f>IF(D159="",0,LEN(TRIM(D159))-LEN(SUBSTITUTE(TRIM(D159)," ",""))+1)</f>
        <v>12</v>
      </c>
    </row>
    <row r="160" spans="1:6" ht="23.85">
      <c r="A160" s="2">
        <v>159</v>
      </c>
      <c r="B160" s="3" t="s">
        <v>408</v>
      </c>
      <c r="C160" s="4" t="s">
        <v>433</v>
      </c>
      <c r="D160" s="4" t="s">
        <v>434</v>
      </c>
      <c r="E160" s="5" t="s">
        <v>435</v>
      </c>
      <c r="F160" s="2">
        <f>IF(D160="",0,LEN(TRIM(D160))-LEN(SUBSTITUTE(TRIM(D160)," ",""))+1)</f>
        <v>16</v>
      </c>
    </row>
    <row r="161" spans="1:6" ht="23.85">
      <c r="A161" s="6">
        <v>160</v>
      </c>
      <c r="B161" s="7" t="s">
        <v>408</v>
      </c>
      <c r="C161" s="8" t="s">
        <v>436</v>
      </c>
      <c r="D161" s="8" t="s">
        <v>437</v>
      </c>
      <c r="E161" s="9" t="s">
        <v>438</v>
      </c>
      <c r="F161" s="6">
        <f>IF(D161="",0,LEN(TRIM(D161))-LEN(SUBSTITUTE(TRIM(D161)," ",""))+1)</f>
        <v>20</v>
      </c>
    </row>
    <row r="162" spans="1:6" ht="23.85">
      <c r="A162" s="2">
        <v>161</v>
      </c>
      <c r="B162" s="3" t="s">
        <v>408</v>
      </c>
      <c r="C162" s="4" t="s">
        <v>439</v>
      </c>
      <c r="D162" s="4" t="s">
        <v>440</v>
      </c>
      <c r="E162" s="5" t="s">
        <v>441</v>
      </c>
      <c r="F162" s="2">
        <f>IF(D162="",0,LEN(TRIM(D162))-LEN(SUBSTITUTE(TRIM(D162)," ",""))+1)</f>
        <v>20</v>
      </c>
    </row>
    <row r="163" spans="1:6" ht="23.85">
      <c r="A163" s="6">
        <v>162</v>
      </c>
      <c r="B163" s="7" t="s">
        <v>408</v>
      </c>
      <c r="C163" s="8" t="s">
        <v>442</v>
      </c>
      <c r="D163" s="8" t="s">
        <v>443</v>
      </c>
      <c r="E163" s="9" t="s">
        <v>444</v>
      </c>
      <c r="F163" s="6">
        <f>IF(D163="",0,LEN(TRIM(D163))-LEN(SUBSTITUTE(TRIM(D163)," ",""))+1)</f>
        <v>17</v>
      </c>
    </row>
    <row r="164" spans="1:6" ht="23.85">
      <c r="A164" s="2">
        <v>163</v>
      </c>
      <c r="B164" s="3" t="s">
        <v>408</v>
      </c>
      <c r="C164" s="4" t="s">
        <v>445</v>
      </c>
      <c r="D164" s="4" t="s">
        <v>446</v>
      </c>
      <c r="E164" s="5" t="s">
        <v>441</v>
      </c>
      <c r="F164" s="2">
        <f>IF(D164="",0,LEN(TRIM(D164))-LEN(SUBSTITUTE(TRIM(D164)," ",""))+1)</f>
        <v>18</v>
      </c>
    </row>
    <row r="165" spans="1:6" ht="22.35">
      <c r="A165" s="6">
        <v>164</v>
      </c>
      <c r="B165" s="7" t="s">
        <v>408</v>
      </c>
      <c r="C165" s="8" t="s">
        <v>447</v>
      </c>
      <c r="D165" s="8" t="s">
        <v>448</v>
      </c>
      <c r="E165" s="9" t="s">
        <v>449</v>
      </c>
      <c r="F165" s="6">
        <f>IF(D165="",0,LEN(TRIM(D165))-LEN(SUBSTITUTE(TRIM(D165)," ",""))+1)</f>
        <v>6</v>
      </c>
    </row>
    <row r="166" spans="1:6" ht="23.85">
      <c r="A166" s="2">
        <v>165</v>
      </c>
      <c r="B166" s="3" t="s">
        <v>408</v>
      </c>
      <c r="C166" s="4" t="s">
        <v>450</v>
      </c>
      <c r="D166" s="4" t="s">
        <v>451</v>
      </c>
      <c r="E166" s="5" t="s">
        <v>452</v>
      </c>
      <c r="F166" s="2">
        <f>IF(D166="",0,LEN(TRIM(D166))-LEN(SUBSTITUTE(TRIM(D166)," ",""))+1)</f>
        <v>18</v>
      </c>
    </row>
    <row r="167" spans="1:6" ht="23.85">
      <c r="A167" s="6">
        <v>166</v>
      </c>
      <c r="B167" s="7" t="s">
        <v>408</v>
      </c>
      <c r="C167" s="8" t="s">
        <v>453</v>
      </c>
      <c r="D167" s="8" t="s">
        <v>454</v>
      </c>
      <c r="E167" s="9" t="s">
        <v>455</v>
      </c>
      <c r="F167" s="6">
        <f>IF(D167="",0,LEN(TRIM(D167))-LEN(SUBSTITUTE(TRIM(D167)," ",""))+1)</f>
        <v>22</v>
      </c>
    </row>
    <row r="168" spans="1:6" ht="23.85">
      <c r="A168" s="2">
        <v>167</v>
      </c>
      <c r="B168" s="3" t="s">
        <v>408</v>
      </c>
      <c r="C168" s="4" t="s">
        <v>456</v>
      </c>
      <c r="D168" s="4" t="s">
        <v>457</v>
      </c>
      <c r="E168" s="5" t="s">
        <v>458</v>
      </c>
      <c r="F168" s="2">
        <f>IF(D168="",0,LEN(TRIM(D168))-LEN(SUBSTITUTE(TRIM(D168)," ",""))+1)</f>
        <v>19</v>
      </c>
    </row>
    <row r="169" spans="1:6" ht="23.85">
      <c r="A169" s="6">
        <v>168</v>
      </c>
      <c r="B169" s="7" t="s">
        <v>408</v>
      </c>
      <c r="C169" s="8" t="s">
        <v>459</v>
      </c>
      <c r="D169" s="8" t="s">
        <v>460</v>
      </c>
      <c r="E169" s="9" t="s">
        <v>461</v>
      </c>
      <c r="F169" s="6">
        <f>IF(D169="",0,LEN(TRIM(D169))-LEN(SUBSTITUTE(TRIM(D169)," ",""))+1)</f>
        <v>18</v>
      </c>
    </row>
    <row r="170" spans="1:6" ht="23.85">
      <c r="A170" s="2">
        <v>169</v>
      </c>
      <c r="B170" s="3" t="s">
        <v>408</v>
      </c>
      <c r="C170" s="4" t="s">
        <v>462</v>
      </c>
      <c r="D170" s="4" t="s">
        <v>463</v>
      </c>
      <c r="E170" s="5" t="s">
        <v>464</v>
      </c>
      <c r="F170" s="2">
        <f>IF(D170="",0,LEN(TRIM(D170))-LEN(SUBSTITUTE(TRIM(D170)," ",""))+1)</f>
        <v>20</v>
      </c>
    </row>
    <row r="171" spans="1:6">
      <c r="A171" s="6">
        <v>170</v>
      </c>
      <c r="B171" s="7" t="s">
        <v>408</v>
      </c>
      <c r="C171" s="8" t="s">
        <v>465</v>
      </c>
      <c r="D171" s="8" t="s">
        <v>466</v>
      </c>
      <c r="E171" s="9" t="s">
        <v>467</v>
      </c>
      <c r="F171" s="6">
        <f>IF(D171="",0,LEN(TRIM(D171))-LEN(SUBSTITUTE(TRIM(D171)," ",""))+1)</f>
        <v>3</v>
      </c>
    </row>
    <row r="172" spans="1:6" ht="23.85">
      <c r="A172" s="2">
        <v>171</v>
      </c>
      <c r="B172" s="3" t="s">
        <v>408</v>
      </c>
      <c r="C172" s="4" t="s">
        <v>468</v>
      </c>
      <c r="D172" s="4" t="s">
        <v>469</v>
      </c>
      <c r="E172" s="5" t="s">
        <v>470</v>
      </c>
      <c r="F172" s="2">
        <f>IF(D172="",0,LEN(TRIM(D172))-LEN(SUBSTITUTE(TRIM(D172)," ",""))+1)</f>
        <v>22</v>
      </c>
    </row>
    <row r="173" spans="1:6" ht="23.85">
      <c r="A173" s="6">
        <v>172</v>
      </c>
      <c r="B173" s="7" t="s">
        <v>408</v>
      </c>
      <c r="C173" s="8" t="s">
        <v>471</v>
      </c>
      <c r="D173" s="8" t="s">
        <v>472</v>
      </c>
      <c r="E173" s="9" t="s">
        <v>473</v>
      </c>
      <c r="F173" s="6">
        <f>IF(D173="",0,LEN(TRIM(D173))-LEN(SUBSTITUTE(TRIM(D173)," ",""))+1)</f>
        <v>18</v>
      </c>
    </row>
    <row r="174" spans="1:6">
      <c r="A174" s="2">
        <v>173</v>
      </c>
      <c r="B174" s="3" t="s">
        <v>408</v>
      </c>
      <c r="C174" s="4" t="s">
        <v>474</v>
      </c>
      <c r="D174" s="4" t="s">
        <v>475</v>
      </c>
      <c r="E174" s="5" t="s">
        <v>476</v>
      </c>
      <c r="F174" s="2">
        <f>IF(D174="",0,LEN(TRIM(D174))-LEN(SUBSTITUTE(TRIM(D174)," ",""))+1)</f>
        <v>11</v>
      </c>
    </row>
    <row r="175" spans="1:6" ht="23.85">
      <c r="A175" s="6">
        <v>174</v>
      </c>
      <c r="B175" s="7" t="s">
        <v>408</v>
      </c>
      <c r="C175" s="8" t="s">
        <v>477</v>
      </c>
      <c r="D175" s="8" t="s">
        <v>478</v>
      </c>
      <c r="E175" s="9" t="s">
        <v>479</v>
      </c>
      <c r="F175" s="6">
        <f>IF(D175="",0,LEN(TRIM(D175))-LEN(SUBSTITUTE(TRIM(D175)," ",""))+1)</f>
        <v>21</v>
      </c>
    </row>
    <row r="176" spans="1:6" ht="23.85">
      <c r="A176" s="2">
        <v>175</v>
      </c>
      <c r="B176" s="3" t="s">
        <v>408</v>
      </c>
      <c r="C176" s="4" t="s">
        <v>480</v>
      </c>
      <c r="D176" s="4" t="s">
        <v>481</v>
      </c>
      <c r="E176" s="5" t="s">
        <v>482</v>
      </c>
      <c r="F176" s="2">
        <f>IF(D176="",0,LEN(TRIM(D176))-LEN(SUBSTITUTE(TRIM(D176)," ",""))+1)</f>
        <v>14</v>
      </c>
    </row>
    <row r="177" spans="1:6" ht="23.85">
      <c r="A177" s="6">
        <v>176</v>
      </c>
      <c r="B177" s="7" t="s">
        <v>408</v>
      </c>
      <c r="C177" s="8" t="s">
        <v>483</v>
      </c>
      <c r="D177" s="8" t="s">
        <v>484</v>
      </c>
      <c r="E177" s="9" t="s">
        <v>485</v>
      </c>
      <c r="F177" s="6">
        <f>IF(D177="",0,LEN(TRIM(D177))-LEN(SUBSTITUTE(TRIM(D177)," ",""))+1)</f>
        <v>23</v>
      </c>
    </row>
    <row r="178" spans="1:6" ht="23.85">
      <c r="A178" s="2">
        <v>177</v>
      </c>
      <c r="B178" s="3" t="s">
        <v>408</v>
      </c>
      <c r="C178" s="4" t="s">
        <v>486</v>
      </c>
      <c r="D178" s="4" t="s">
        <v>487</v>
      </c>
      <c r="E178" s="5" t="s">
        <v>488</v>
      </c>
      <c r="F178" s="2">
        <f>IF(D178="",0,LEN(TRIM(D178))-LEN(SUBSTITUTE(TRIM(D178)," ",""))+1)</f>
        <v>19</v>
      </c>
    </row>
    <row r="179" spans="1:6" ht="23.85">
      <c r="A179" s="6">
        <v>178</v>
      </c>
      <c r="B179" s="7" t="s">
        <v>408</v>
      </c>
      <c r="C179" s="8" t="s">
        <v>489</v>
      </c>
      <c r="D179" s="8" t="s">
        <v>490</v>
      </c>
      <c r="E179" s="9" t="s">
        <v>491</v>
      </c>
      <c r="F179" s="6">
        <f>IF(D179="",0,LEN(TRIM(D179))-LEN(SUBSTITUTE(TRIM(D179)," ",""))+1)</f>
        <v>22</v>
      </c>
    </row>
    <row r="180" spans="1:6" ht="23.85">
      <c r="A180" s="2">
        <v>179</v>
      </c>
      <c r="B180" s="3" t="s">
        <v>408</v>
      </c>
      <c r="C180" s="4" t="s">
        <v>492</v>
      </c>
      <c r="D180" s="4" t="s">
        <v>493</v>
      </c>
      <c r="E180" s="5" t="s">
        <v>494</v>
      </c>
      <c r="F180" s="2">
        <f>IF(D180="",0,LEN(TRIM(D180))-LEN(SUBSTITUTE(TRIM(D180)," ",""))+1)</f>
        <v>30</v>
      </c>
    </row>
    <row r="181" spans="1:6" ht="23.85">
      <c r="A181" s="6">
        <v>180</v>
      </c>
      <c r="B181" s="7" t="s">
        <v>408</v>
      </c>
      <c r="C181" s="8" t="s">
        <v>495</v>
      </c>
      <c r="D181" s="8" t="s">
        <v>496</v>
      </c>
      <c r="E181" s="9" t="s">
        <v>497</v>
      </c>
      <c r="F181" s="6">
        <f>IF(D181="",0,LEN(TRIM(D181))-LEN(SUBSTITUTE(TRIM(D181)," ",""))+1)</f>
        <v>16</v>
      </c>
    </row>
    <row r="182" spans="1:6" ht="23.85">
      <c r="A182" s="2">
        <v>181</v>
      </c>
      <c r="B182" s="3" t="s">
        <v>408</v>
      </c>
      <c r="C182" s="4" t="s">
        <v>498</v>
      </c>
      <c r="D182" s="4" t="s">
        <v>499</v>
      </c>
      <c r="E182" s="5" t="s">
        <v>500</v>
      </c>
      <c r="F182" s="2">
        <f>IF(D182="",0,LEN(TRIM(D182))-LEN(SUBSTITUTE(TRIM(D182)," ",""))+1)</f>
        <v>22</v>
      </c>
    </row>
    <row r="183" spans="1:6" ht="23.85">
      <c r="A183" s="6">
        <v>182</v>
      </c>
      <c r="B183" s="7" t="s">
        <v>408</v>
      </c>
      <c r="C183" s="8" t="s">
        <v>501</v>
      </c>
      <c r="D183" s="8" t="s">
        <v>502</v>
      </c>
      <c r="E183" s="9" t="s">
        <v>500</v>
      </c>
      <c r="F183" s="6">
        <f>IF(D183="",0,LEN(TRIM(D183))-LEN(SUBSTITUTE(TRIM(D183)," ",""))+1)</f>
        <v>20</v>
      </c>
    </row>
    <row r="184" spans="1:6" ht="23.85">
      <c r="A184" s="2">
        <v>183</v>
      </c>
      <c r="B184" s="3" t="s">
        <v>408</v>
      </c>
      <c r="C184" s="4" t="s">
        <v>503</v>
      </c>
      <c r="D184" s="4" t="s">
        <v>504</v>
      </c>
      <c r="E184" s="5" t="s">
        <v>505</v>
      </c>
      <c r="F184" s="2">
        <f>IF(D184="",0,LEN(TRIM(D184))-LEN(SUBSTITUTE(TRIM(D184)," ",""))+1)</f>
        <v>14</v>
      </c>
    </row>
    <row r="185" spans="1:6" ht="23.85">
      <c r="A185" s="6">
        <v>184</v>
      </c>
      <c r="B185" s="7" t="s">
        <v>408</v>
      </c>
      <c r="C185" s="8" t="s">
        <v>506</v>
      </c>
      <c r="D185" s="8" t="s">
        <v>507</v>
      </c>
      <c r="E185" s="9" t="s">
        <v>505</v>
      </c>
      <c r="F185" s="6">
        <f>IF(D185="",0,LEN(TRIM(D185))-LEN(SUBSTITUTE(TRIM(D185)," ",""))+1)</f>
        <v>18</v>
      </c>
    </row>
    <row r="186" spans="1:6" ht="23.85">
      <c r="A186" s="2">
        <v>185</v>
      </c>
      <c r="B186" s="3" t="s">
        <v>408</v>
      </c>
      <c r="C186" s="4" t="s">
        <v>508</v>
      </c>
      <c r="D186" s="4" t="s">
        <v>509</v>
      </c>
      <c r="E186" s="5" t="s">
        <v>505</v>
      </c>
      <c r="F186" s="2">
        <f>IF(D186="",0,LEN(TRIM(D186))-LEN(SUBSTITUTE(TRIM(D186)," ",""))+1)</f>
        <v>17</v>
      </c>
    </row>
    <row r="187" spans="1:6" ht="23.85">
      <c r="A187" s="6">
        <v>186</v>
      </c>
      <c r="B187" s="7" t="s">
        <v>408</v>
      </c>
      <c r="C187" s="8" t="s">
        <v>510</v>
      </c>
      <c r="D187" s="8" t="s">
        <v>511</v>
      </c>
      <c r="E187" s="9" t="s">
        <v>512</v>
      </c>
      <c r="F187" s="6">
        <f>IF(D187="",0,LEN(TRIM(D187))-LEN(SUBSTITUTE(TRIM(D187)," ",""))+1)</f>
        <v>16</v>
      </c>
    </row>
    <row r="188" spans="1:6" ht="23.85">
      <c r="A188" s="2">
        <v>187</v>
      </c>
      <c r="B188" s="3" t="s">
        <v>513</v>
      </c>
      <c r="C188" s="4" t="s">
        <v>514</v>
      </c>
      <c r="D188" s="4" t="s">
        <v>515</v>
      </c>
      <c r="E188" s="5" t="s">
        <v>516</v>
      </c>
      <c r="F188" s="2">
        <f>IF(D188="",0,LEN(TRIM(D188))-LEN(SUBSTITUTE(TRIM(D188)," ",""))+1)</f>
        <v>21</v>
      </c>
    </row>
    <row r="189" spans="1:6" ht="23.85">
      <c r="A189" s="6">
        <v>188</v>
      </c>
      <c r="B189" s="7" t="s">
        <v>513</v>
      </c>
      <c r="C189" s="8" t="s">
        <v>517</v>
      </c>
      <c r="D189" s="8" t="s">
        <v>518</v>
      </c>
      <c r="E189" s="9" t="s">
        <v>516</v>
      </c>
      <c r="F189" s="6">
        <f>IF(D189="",0,LEN(TRIM(D189))-LEN(SUBSTITUTE(TRIM(D189)," ",""))+1)</f>
        <v>23</v>
      </c>
    </row>
    <row r="190" spans="1:6" ht="23.85">
      <c r="A190" s="2">
        <v>189</v>
      </c>
      <c r="B190" s="3" t="s">
        <v>513</v>
      </c>
      <c r="C190" s="4" t="s">
        <v>519</v>
      </c>
      <c r="D190" s="4" t="s">
        <v>520</v>
      </c>
      <c r="E190" s="5" t="s">
        <v>521</v>
      </c>
      <c r="F190" s="2">
        <f>IF(D190="",0,LEN(TRIM(D190))-LEN(SUBSTITUTE(TRIM(D190)," ",""))+1)</f>
        <v>20</v>
      </c>
    </row>
    <row r="191" spans="1:6" ht="23.85">
      <c r="A191" s="6">
        <v>190</v>
      </c>
      <c r="B191" s="7" t="s">
        <v>513</v>
      </c>
      <c r="C191" s="8" t="s">
        <v>522</v>
      </c>
      <c r="D191" s="8" t="s">
        <v>523</v>
      </c>
      <c r="E191" s="9" t="s">
        <v>516</v>
      </c>
      <c r="F191" s="6">
        <f>IF(D191="",0,LEN(TRIM(D191))-LEN(SUBSTITUTE(TRIM(D191)," ",""))+1)</f>
        <v>15</v>
      </c>
    </row>
    <row r="192" spans="1:6" ht="23.85">
      <c r="A192" s="2">
        <v>191</v>
      </c>
      <c r="B192" s="3" t="s">
        <v>513</v>
      </c>
      <c r="C192" s="4" t="s">
        <v>524</v>
      </c>
      <c r="D192" s="4" t="s">
        <v>525</v>
      </c>
      <c r="E192" s="5" t="s">
        <v>526</v>
      </c>
      <c r="F192" s="2">
        <f>IF(D192="",0,LEN(TRIM(D192))-LEN(SUBSTITUTE(TRIM(D192)," ",""))+1)</f>
        <v>26</v>
      </c>
    </row>
    <row r="193" spans="1:6" ht="23.85">
      <c r="A193" s="6">
        <v>192</v>
      </c>
      <c r="B193" s="7" t="s">
        <v>513</v>
      </c>
      <c r="C193" s="8" t="s">
        <v>527</v>
      </c>
      <c r="D193" s="8" t="s">
        <v>528</v>
      </c>
      <c r="E193" s="9" t="s">
        <v>529</v>
      </c>
      <c r="F193" s="6">
        <f>IF(D193="",0,LEN(TRIM(D193))-LEN(SUBSTITUTE(TRIM(D193)," ",""))+1)</f>
        <v>16</v>
      </c>
    </row>
    <row r="194" spans="1:6" ht="23.85">
      <c r="A194" s="2">
        <v>193</v>
      </c>
      <c r="B194" s="3" t="s">
        <v>513</v>
      </c>
      <c r="C194" s="4" t="s">
        <v>530</v>
      </c>
      <c r="D194" s="4" t="s">
        <v>531</v>
      </c>
      <c r="E194" s="5" t="s">
        <v>529</v>
      </c>
      <c r="F194" s="2">
        <f>IF(D194="",0,LEN(TRIM(D194))-LEN(SUBSTITUTE(TRIM(D194)," ",""))+1)</f>
        <v>21</v>
      </c>
    </row>
    <row r="195" spans="1:6" ht="23.85">
      <c r="A195" s="6">
        <v>194</v>
      </c>
      <c r="B195" s="7" t="s">
        <v>532</v>
      </c>
      <c r="C195" s="8" t="s">
        <v>533</v>
      </c>
      <c r="D195" s="8" t="s">
        <v>534</v>
      </c>
      <c r="E195" s="9" t="s">
        <v>535</v>
      </c>
      <c r="F195" s="6">
        <f>IF(D195="",0,LEN(TRIM(D195))-LEN(SUBSTITUTE(TRIM(D195)," ",""))+1)</f>
        <v>24</v>
      </c>
    </row>
    <row r="196" spans="1:6" ht="23.85">
      <c r="A196" s="2">
        <v>195</v>
      </c>
      <c r="B196" s="3" t="s">
        <v>532</v>
      </c>
      <c r="C196" s="4" t="s">
        <v>536</v>
      </c>
      <c r="D196" s="4" t="s">
        <v>537</v>
      </c>
      <c r="E196" s="5" t="s">
        <v>535</v>
      </c>
      <c r="F196" s="2">
        <f>IF(D196="",0,LEN(TRIM(D196))-LEN(SUBSTITUTE(TRIM(D196)," ",""))+1)</f>
        <v>27</v>
      </c>
    </row>
    <row r="197" spans="1:6" ht="23.85">
      <c r="A197" s="6">
        <v>196</v>
      </c>
      <c r="B197" s="7" t="s">
        <v>532</v>
      </c>
      <c r="C197" s="8" t="s">
        <v>538</v>
      </c>
      <c r="D197" s="8" t="s">
        <v>539</v>
      </c>
      <c r="E197" s="9" t="s">
        <v>535</v>
      </c>
      <c r="F197" s="6">
        <f>IF(D197="",0,LEN(TRIM(D197))-LEN(SUBSTITUTE(TRIM(D197)," ",""))+1)</f>
        <v>18</v>
      </c>
    </row>
    <row r="198" spans="1:6" ht="23.85">
      <c r="A198" s="2">
        <v>197</v>
      </c>
      <c r="B198" s="3" t="s">
        <v>532</v>
      </c>
      <c r="C198" s="4" t="s">
        <v>540</v>
      </c>
      <c r="D198" s="4" t="s">
        <v>541</v>
      </c>
      <c r="E198" s="5" t="s">
        <v>542</v>
      </c>
      <c r="F198" s="2">
        <f>IF(D198="",0,LEN(TRIM(D198))-LEN(SUBSTITUTE(TRIM(D198)," ",""))+1)</f>
        <v>20</v>
      </c>
    </row>
    <row r="199" spans="1:6" ht="23.85">
      <c r="A199" s="6">
        <v>198</v>
      </c>
      <c r="B199" s="7" t="s">
        <v>532</v>
      </c>
      <c r="C199" s="8" t="s">
        <v>543</v>
      </c>
      <c r="D199" s="8" t="s">
        <v>544</v>
      </c>
      <c r="E199" s="9" t="s">
        <v>542</v>
      </c>
      <c r="F199" s="6">
        <f>IF(D199="",0,LEN(TRIM(D199))-LEN(SUBSTITUTE(TRIM(D199)," ",""))+1)</f>
        <v>11</v>
      </c>
    </row>
    <row r="200" spans="1:6" ht="23.85">
      <c r="A200" s="2">
        <v>199</v>
      </c>
      <c r="B200" s="3" t="s">
        <v>532</v>
      </c>
      <c r="C200" s="4" t="s">
        <v>545</v>
      </c>
      <c r="D200" s="4" t="s">
        <v>546</v>
      </c>
      <c r="E200" s="5" t="s">
        <v>542</v>
      </c>
      <c r="F200" s="2">
        <f>IF(D200="",0,LEN(TRIM(D200))-LEN(SUBSTITUTE(TRIM(D200)," ",""))+1)</f>
        <v>16</v>
      </c>
    </row>
    <row r="201" spans="1:6" ht="23.85">
      <c r="A201" s="6">
        <v>200</v>
      </c>
      <c r="B201" s="7" t="s">
        <v>532</v>
      </c>
      <c r="C201" s="8" t="s">
        <v>547</v>
      </c>
      <c r="D201" s="8" t="s">
        <v>548</v>
      </c>
      <c r="E201" s="9" t="s">
        <v>542</v>
      </c>
      <c r="F201" s="6">
        <f>IF(D201="",0,LEN(TRIM(D201))-LEN(SUBSTITUTE(TRIM(D201)," ",""))+1)</f>
        <v>20</v>
      </c>
    </row>
    <row r="202" spans="1:6" ht="23.85">
      <c r="A202" s="2">
        <v>201</v>
      </c>
      <c r="B202" s="3" t="s">
        <v>532</v>
      </c>
      <c r="C202" s="4" t="s">
        <v>549</v>
      </c>
      <c r="D202" s="4" t="s">
        <v>550</v>
      </c>
      <c r="E202" s="5" t="s">
        <v>542</v>
      </c>
      <c r="F202" s="2">
        <f>IF(D202="",0,LEN(TRIM(D202))-LEN(SUBSTITUTE(TRIM(D202)," ",""))+1)</f>
        <v>18</v>
      </c>
    </row>
    <row r="203" spans="1:6">
      <c r="A203" s="6">
        <v>202</v>
      </c>
      <c r="B203" s="7" t="s">
        <v>532</v>
      </c>
      <c r="C203" s="8" t="s">
        <v>551</v>
      </c>
      <c r="D203" s="8" t="s">
        <v>552</v>
      </c>
      <c r="E203" s="9" t="s">
        <v>542</v>
      </c>
      <c r="F203" s="6">
        <f>IF(D203="",0,LEN(TRIM(D203))-LEN(SUBSTITUTE(TRIM(D203)," ",""))+1)</f>
        <v>11</v>
      </c>
    </row>
    <row r="204" spans="1:6" ht="23.85">
      <c r="A204" s="2">
        <v>203</v>
      </c>
      <c r="B204" s="3" t="s">
        <v>532</v>
      </c>
      <c r="C204" s="4" t="s">
        <v>553</v>
      </c>
      <c r="D204" s="4" t="s">
        <v>554</v>
      </c>
      <c r="E204" s="5" t="s">
        <v>555</v>
      </c>
      <c r="F204" s="2">
        <f>IF(D204="",0,LEN(TRIM(D204))-LEN(SUBSTITUTE(TRIM(D204)," ",""))+1)</f>
        <v>19</v>
      </c>
    </row>
    <row r="205" spans="1:6" ht="23.85">
      <c r="A205" s="6">
        <v>204</v>
      </c>
      <c r="B205" s="7" t="s">
        <v>532</v>
      </c>
      <c r="C205" s="8" t="s">
        <v>556</v>
      </c>
      <c r="D205" s="8" t="s">
        <v>557</v>
      </c>
      <c r="E205" s="9" t="s">
        <v>558</v>
      </c>
      <c r="F205" s="6">
        <f>IF(D205="",0,LEN(TRIM(D205))-LEN(SUBSTITUTE(TRIM(D205)," ",""))+1)</f>
        <v>17</v>
      </c>
    </row>
    <row r="206" spans="1:6" ht="23.85">
      <c r="A206" s="2">
        <v>205</v>
      </c>
      <c r="B206" s="3" t="s">
        <v>532</v>
      </c>
      <c r="C206" s="4" t="s">
        <v>559</v>
      </c>
      <c r="D206" s="4" t="s">
        <v>560</v>
      </c>
      <c r="E206" s="5" t="s">
        <v>561</v>
      </c>
      <c r="F206" s="2">
        <f>IF(D206="",0,LEN(TRIM(D206))-LEN(SUBSTITUTE(TRIM(D206)," ",""))+1)</f>
        <v>18</v>
      </c>
    </row>
    <row r="207" spans="1:6" ht="23.85">
      <c r="A207" s="6">
        <v>206</v>
      </c>
      <c r="B207" s="7" t="s">
        <v>532</v>
      </c>
      <c r="C207" s="8" t="s">
        <v>562</v>
      </c>
      <c r="D207" s="8" t="s">
        <v>563</v>
      </c>
      <c r="E207" s="9" t="s">
        <v>564</v>
      </c>
      <c r="F207" s="6">
        <f>IF(D207="",0,LEN(TRIM(D207))-LEN(SUBSTITUTE(TRIM(D207)," ",""))+1)</f>
        <v>21</v>
      </c>
    </row>
    <row r="208" spans="1:6" ht="23.85">
      <c r="A208" s="2">
        <v>207</v>
      </c>
      <c r="B208" s="3" t="s">
        <v>532</v>
      </c>
      <c r="C208" s="4" t="s">
        <v>565</v>
      </c>
      <c r="D208" s="4" t="s">
        <v>566</v>
      </c>
      <c r="E208" s="5" t="s">
        <v>564</v>
      </c>
      <c r="F208" s="2">
        <f>IF(D208="",0,LEN(TRIM(D208))-LEN(SUBSTITUTE(TRIM(D208)," ",""))+1)</f>
        <v>14</v>
      </c>
    </row>
    <row r="209" spans="1:6" ht="23.85">
      <c r="A209" s="6">
        <v>208</v>
      </c>
      <c r="B209" s="7" t="s">
        <v>567</v>
      </c>
      <c r="C209" s="8" t="s">
        <v>568</v>
      </c>
      <c r="D209" s="8" t="s">
        <v>569</v>
      </c>
      <c r="E209" s="9" t="s">
        <v>570</v>
      </c>
      <c r="F209" s="6">
        <f>IF(D209="",0,LEN(TRIM(D209))-LEN(SUBSTITUTE(TRIM(D209)," ",""))+1)</f>
        <v>24</v>
      </c>
    </row>
    <row r="210" spans="1:6">
      <c r="A210" s="2">
        <v>209</v>
      </c>
      <c r="B210" s="3" t="s">
        <v>567</v>
      </c>
      <c r="C210" s="4" t="s">
        <v>571</v>
      </c>
      <c r="D210" s="4" t="s">
        <v>572</v>
      </c>
      <c r="E210" s="5" t="s">
        <v>570</v>
      </c>
      <c r="F210" s="2">
        <f>IF(D210="",0,LEN(TRIM(D210))-LEN(SUBSTITUTE(TRIM(D210)," ",""))+1)</f>
        <v>9</v>
      </c>
    </row>
    <row r="211" spans="1:6" ht="23.85">
      <c r="A211" s="6">
        <v>210</v>
      </c>
      <c r="B211" s="7" t="s">
        <v>567</v>
      </c>
      <c r="C211" s="8" t="s">
        <v>573</v>
      </c>
      <c r="D211" s="8" t="s">
        <v>574</v>
      </c>
      <c r="E211" s="9" t="s">
        <v>570</v>
      </c>
      <c r="F211" s="6">
        <f>IF(D211="",0,LEN(TRIM(D211))-LEN(SUBSTITUTE(TRIM(D211)," ",""))+1)</f>
        <v>15</v>
      </c>
    </row>
    <row r="212" spans="1:6" ht="23.85">
      <c r="A212" s="2">
        <v>211</v>
      </c>
      <c r="B212" s="3" t="s">
        <v>567</v>
      </c>
      <c r="C212" s="4" t="s">
        <v>575</v>
      </c>
      <c r="D212" s="4" t="s">
        <v>576</v>
      </c>
      <c r="E212" s="5" t="s">
        <v>577</v>
      </c>
      <c r="F212" s="2">
        <f>IF(D212="",0,LEN(TRIM(D212))-LEN(SUBSTITUTE(TRIM(D212)," ",""))+1)</f>
        <v>20</v>
      </c>
    </row>
    <row r="213" spans="1:6" ht="23.85">
      <c r="A213" s="6">
        <v>212</v>
      </c>
      <c r="B213" s="7" t="s">
        <v>567</v>
      </c>
      <c r="C213" s="8" t="s">
        <v>578</v>
      </c>
      <c r="D213" s="8" t="s">
        <v>579</v>
      </c>
      <c r="E213" s="9" t="s">
        <v>580</v>
      </c>
      <c r="F213" s="6">
        <f>IF(D213="",0,LEN(TRIM(D213))-LEN(SUBSTITUTE(TRIM(D213)," ",""))+1)</f>
        <v>19</v>
      </c>
    </row>
    <row r="214" spans="1:6" ht="23.85">
      <c r="A214" s="2">
        <v>213</v>
      </c>
      <c r="B214" s="3" t="s">
        <v>567</v>
      </c>
      <c r="C214" s="4" t="s">
        <v>581</v>
      </c>
      <c r="D214" s="4" t="s">
        <v>582</v>
      </c>
      <c r="E214" s="5" t="s">
        <v>583</v>
      </c>
      <c r="F214" s="2">
        <f>IF(D214="",0,LEN(TRIM(D214))-LEN(SUBSTITUTE(TRIM(D214)," ",""))+1)</f>
        <v>17</v>
      </c>
    </row>
    <row r="215" spans="1:6" ht="23.85">
      <c r="A215" s="6">
        <v>214</v>
      </c>
      <c r="B215" s="7" t="s">
        <v>567</v>
      </c>
      <c r="C215" s="8" t="s">
        <v>584</v>
      </c>
      <c r="D215" s="8" t="s">
        <v>585</v>
      </c>
      <c r="E215" s="9" t="s">
        <v>586</v>
      </c>
      <c r="F215" s="6">
        <f>IF(D215="",0,LEN(TRIM(D215))-LEN(SUBSTITUTE(TRIM(D215)," ",""))+1)</f>
        <v>16</v>
      </c>
    </row>
    <row r="216" spans="1:6" ht="23.85">
      <c r="A216" s="2">
        <v>215</v>
      </c>
      <c r="B216" s="3" t="s">
        <v>567</v>
      </c>
      <c r="C216" s="4" t="s">
        <v>587</v>
      </c>
      <c r="D216" s="4" t="s">
        <v>588</v>
      </c>
      <c r="E216" s="5" t="s">
        <v>589</v>
      </c>
      <c r="F216" s="2">
        <f>IF(D216="",0,LEN(TRIM(D216))-LEN(SUBSTITUTE(TRIM(D216)," ",""))+1)</f>
        <v>15</v>
      </c>
    </row>
    <row r="217" spans="1:6" ht="23.85">
      <c r="A217" s="6">
        <v>216</v>
      </c>
      <c r="B217" s="7" t="s">
        <v>590</v>
      </c>
      <c r="C217" s="8" t="s">
        <v>591</v>
      </c>
      <c r="D217" s="8" t="s">
        <v>592</v>
      </c>
      <c r="E217" s="9" t="s">
        <v>593</v>
      </c>
      <c r="F217" s="6">
        <f>IF(D217="",0,LEN(TRIM(D217))-LEN(SUBSTITUTE(TRIM(D217)," ",""))+1)</f>
        <v>25</v>
      </c>
    </row>
    <row r="218" spans="1:6" ht="23.85">
      <c r="A218" s="2">
        <v>217</v>
      </c>
      <c r="B218" s="3" t="s">
        <v>590</v>
      </c>
      <c r="C218" s="4" t="s">
        <v>594</v>
      </c>
      <c r="D218" s="4" t="s">
        <v>595</v>
      </c>
      <c r="E218" s="5" t="s">
        <v>596</v>
      </c>
      <c r="F218" s="2">
        <f>IF(D218="",0,LEN(TRIM(D218))-LEN(SUBSTITUTE(TRIM(D218)," ",""))+1)</f>
        <v>28</v>
      </c>
    </row>
    <row r="219" spans="1:6" ht="23.85">
      <c r="A219" s="6">
        <v>218</v>
      </c>
      <c r="B219" s="7" t="s">
        <v>590</v>
      </c>
      <c r="C219" s="8" t="s">
        <v>597</v>
      </c>
      <c r="D219" s="8" t="s">
        <v>598</v>
      </c>
      <c r="E219" s="9" t="s">
        <v>199</v>
      </c>
      <c r="F219" s="6">
        <f>IF(D219="",0,LEN(TRIM(D219))-LEN(SUBSTITUTE(TRIM(D219)," ",""))+1)</f>
        <v>18</v>
      </c>
    </row>
    <row r="220" spans="1:6" ht="23.85">
      <c r="A220" s="2">
        <v>219</v>
      </c>
      <c r="B220" s="3" t="s">
        <v>590</v>
      </c>
      <c r="C220" s="4" t="s">
        <v>599</v>
      </c>
      <c r="D220" s="4" t="s">
        <v>600</v>
      </c>
      <c r="E220" s="5" t="s">
        <v>601</v>
      </c>
      <c r="F220" s="2">
        <f>IF(D220="",0,LEN(TRIM(D220))-LEN(SUBSTITUTE(TRIM(D220)," ",""))+1)</f>
        <v>22</v>
      </c>
    </row>
    <row r="221" spans="1:6" ht="23.85">
      <c r="A221" s="6">
        <v>220</v>
      </c>
      <c r="B221" s="7" t="s">
        <v>590</v>
      </c>
      <c r="C221" s="8" t="s">
        <v>602</v>
      </c>
      <c r="D221" s="8" t="s">
        <v>603</v>
      </c>
      <c r="E221" s="9" t="s">
        <v>604</v>
      </c>
      <c r="F221" s="6">
        <f>IF(D221="",0,LEN(TRIM(D221))-LEN(SUBSTITUTE(TRIM(D221)," ",""))+1)</f>
        <v>21</v>
      </c>
    </row>
    <row r="222" spans="1:6" ht="23.85">
      <c r="A222" s="2">
        <v>221</v>
      </c>
      <c r="B222" s="3" t="s">
        <v>590</v>
      </c>
      <c r="C222" s="4" t="s">
        <v>605</v>
      </c>
      <c r="D222" s="4" t="s">
        <v>606</v>
      </c>
      <c r="E222" s="5" t="s">
        <v>607</v>
      </c>
      <c r="F222" s="2">
        <f>IF(D222="",0,LEN(TRIM(D222))-LEN(SUBSTITUTE(TRIM(D222)," ",""))+1)</f>
        <v>24</v>
      </c>
    </row>
    <row r="223" spans="1:6" ht="23.85">
      <c r="A223" s="6">
        <v>222</v>
      </c>
      <c r="B223" s="7" t="s">
        <v>590</v>
      </c>
      <c r="C223" s="8" t="s">
        <v>608</v>
      </c>
      <c r="D223" s="8" t="s">
        <v>609</v>
      </c>
      <c r="E223" s="9" t="s">
        <v>610</v>
      </c>
      <c r="F223" s="6">
        <f>IF(D223="",0,LEN(TRIM(D223))-LEN(SUBSTITUTE(TRIM(D223)," ",""))+1)</f>
        <v>20</v>
      </c>
    </row>
    <row r="224" spans="1:6" ht="23.85">
      <c r="A224" s="2">
        <v>223</v>
      </c>
      <c r="B224" s="3" t="s">
        <v>590</v>
      </c>
      <c r="C224" s="4" t="s">
        <v>611</v>
      </c>
      <c r="D224" s="4" t="s">
        <v>612</v>
      </c>
      <c r="E224" s="5" t="s">
        <v>613</v>
      </c>
      <c r="F224" s="2">
        <f>IF(D224="",0,LEN(TRIM(D224))-LEN(SUBSTITUTE(TRIM(D224)," ",""))+1)</f>
        <v>20</v>
      </c>
    </row>
    <row r="225" spans="1:6" ht="23.85">
      <c r="A225" s="6">
        <v>224</v>
      </c>
      <c r="B225" s="7" t="s">
        <v>590</v>
      </c>
      <c r="C225" s="8" t="s">
        <v>614</v>
      </c>
      <c r="D225" s="8" t="s">
        <v>615</v>
      </c>
      <c r="E225" s="9" t="s">
        <v>616</v>
      </c>
      <c r="F225" s="6">
        <f>IF(D225="",0,LEN(TRIM(D225))-LEN(SUBSTITUTE(TRIM(D225)," ",""))+1)</f>
        <v>28</v>
      </c>
    </row>
    <row r="226" spans="1:6" ht="23.85">
      <c r="A226" s="2">
        <v>225</v>
      </c>
      <c r="B226" s="3" t="s">
        <v>590</v>
      </c>
      <c r="C226" s="4" t="s">
        <v>617</v>
      </c>
      <c r="D226" s="4" t="s">
        <v>618</v>
      </c>
      <c r="E226" s="5" t="s">
        <v>619</v>
      </c>
      <c r="F226" s="2">
        <f>IF(D226="",0,LEN(TRIM(D226))-LEN(SUBSTITUTE(TRIM(D226)," ",""))+1)</f>
        <v>17</v>
      </c>
    </row>
    <row r="227" spans="1:6" ht="23.85">
      <c r="A227" s="6">
        <v>226</v>
      </c>
      <c r="B227" s="7" t="s">
        <v>590</v>
      </c>
      <c r="C227" s="8" t="s">
        <v>620</v>
      </c>
      <c r="D227" s="8" t="s">
        <v>621</v>
      </c>
      <c r="E227" s="9" t="s">
        <v>622</v>
      </c>
      <c r="F227" s="6">
        <f>IF(D227="",0,LEN(TRIM(D227))-LEN(SUBSTITUTE(TRIM(D227)," ",""))+1)</f>
        <v>18</v>
      </c>
    </row>
    <row r="228" spans="1:6" ht="23.85">
      <c r="A228" s="2">
        <v>227</v>
      </c>
      <c r="B228" s="3" t="s">
        <v>590</v>
      </c>
      <c r="C228" s="4" t="s">
        <v>623</v>
      </c>
      <c r="D228" s="4" t="s">
        <v>624</v>
      </c>
      <c r="E228" s="5" t="s">
        <v>625</v>
      </c>
      <c r="F228" s="2">
        <f>IF(D228="",0,LEN(TRIM(D228))-LEN(SUBSTITUTE(TRIM(D228)," ",""))+1)</f>
        <v>15</v>
      </c>
    </row>
    <row r="229" spans="1:6" ht="23.85">
      <c r="A229" s="6">
        <v>228</v>
      </c>
      <c r="B229" s="7" t="s">
        <v>590</v>
      </c>
      <c r="C229" s="8" t="s">
        <v>626</v>
      </c>
      <c r="D229" s="8" t="s">
        <v>627</v>
      </c>
      <c r="E229" s="9" t="s">
        <v>441</v>
      </c>
      <c r="F229" s="6">
        <f>IF(D229="",0,LEN(TRIM(D229))-LEN(SUBSTITUTE(TRIM(D229)," ",""))+1)</f>
        <v>15</v>
      </c>
    </row>
    <row r="230" spans="1:6" ht="23.85">
      <c r="A230" s="2">
        <v>229</v>
      </c>
      <c r="B230" s="3" t="s">
        <v>590</v>
      </c>
      <c r="C230" s="4" t="s">
        <v>628</v>
      </c>
      <c r="D230" s="4" t="s">
        <v>629</v>
      </c>
      <c r="E230" s="5" t="s">
        <v>630</v>
      </c>
      <c r="F230" s="2">
        <f>IF(D230="",0,LEN(TRIM(D230))-LEN(SUBSTITUTE(TRIM(D230)," ",""))+1)</f>
        <v>24</v>
      </c>
    </row>
    <row r="231" spans="1:6" ht="23.85">
      <c r="A231" s="6">
        <v>230</v>
      </c>
      <c r="B231" s="7" t="s">
        <v>590</v>
      </c>
      <c r="C231" s="8" t="s">
        <v>631</v>
      </c>
      <c r="D231" s="8" t="s">
        <v>632</v>
      </c>
      <c r="E231" s="9" t="s">
        <v>208</v>
      </c>
      <c r="F231" s="6">
        <f>IF(D231="",0,LEN(TRIM(D231))-LEN(SUBSTITUTE(TRIM(D231)," ",""))+1)</f>
        <v>20</v>
      </c>
    </row>
    <row r="232" spans="1:6" ht="23.85">
      <c r="A232" s="2">
        <v>231</v>
      </c>
      <c r="B232" s="3" t="s">
        <v>590</v>
      </c>
      <c r="C232" s="4" t="s">
        <v>633</v>
      </c>
      <c r="D232" s="4" t="s">
        <v>634</v>
      </c>
      <c r="E232" s="5" t="s">
        <v>635</v>
      </c>
      <c r="F232" s="2">
        <f>IF(D232="",0,LEN(TRIM(D232))-LEN(SUBSTITUTE(TRIM(D232)," ",""))+1)</f>
        <v>19</v>
      </c>
    </row>
    <row r="233" spans="1:6" ht="23.85">
      <c r="A233" s="6">
        <v>232</v>
      </c>
      <c r="B233" s="7" t="s">
        <v>590</v>
      </c>
      <c r="C233" s="8" t="s">
        <v>636</v>
      </c>
      <c r="D233" s="8" t="s">
        <v>637</v>
      </c>
      <c r="E233" s="9" t="s">
        <v>304</v>
      </c>
      <c r="F233" s="6">
        <f>IF(D233="",0,LEN(TRIM(D233))-LEN(SUBSTITUTE(TRIM(D233)," ",""))+1)</f>
        <v>21</v>
      </c>
    </row>
    <row r="234" spans="1:6" ht="23.85">
      <c r="A234" s="2">
        <v>233</v>
      </c>
      <c r="B234" s="3" t="s">
        <v>590</v>
      </c>
      <c r="C234" s="4" t="s">
        <v>638</v>
      </c>
      <c r="D234" s="4" t="s">
        <v>639</v>
      </c>
      <c r="E234" s="5" t="s">
        <v>640</v>
      </c>
      <c r="F234" s="2">
        <f>IF(D234="",0,LEN(TRIM(D234))-LEN(SUBSTITUTE(TRIM(D234)," ",""))+1)</f>
        <v>24</v>
      </c>
    </row>
  </sheetData>
  <autoFilter ref="A1:F23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/>
  </sheetViews>
  <sheetFormatPr defaultColWidth="8.7109375" defaultRowHeight="15"/>
  <cols>
    <col min="1" max="1" width="30" customWidth="1"/>
    <col min="2" max="2" width="12" customWidth="1"/>
    <col min="3" max="3" width="11" customWidth="1"/>
    <col min="4" max="4" width="72" customWidth="1"/>
  </cols>
  <sheetData>
    <row r="1" spans="1:4" ht="18.600000000000001">
      <c r="A1" s="10" t="s">
        <v>641</v>
      </c>
    </row>
    <row r="2" spans="1:4">
      <c r="A2" s="11" t="s">
        <v>642</v>
      </c>
    </row>
    <row r="3" spans="1:4">
      <c r="A3" s="11" t="s">
        <v>643</v>
      </c>
    </row>
    <row r="4" spans="1:4">
      <c r="A4" s="11" t="s">
        <v>644</v>
      </c>
    </row>
    <row r="6" spans="1:4">
      <c r="A6" s="1" t="s">
        <v>1</v>
      </c>
      <c r="B6" s="1" t="s">
        <v>645</v>
      </c>
      <c r="C6" s="1" t="s">
        <v>646</v>
      </c>
      <c r="D6" s="1" t="s">
        <v>647</v>
      </c>
    </row>
    <row r="7" spans="1:4">
      <c r="A7" s="12" t="s">
        <v>6</v>
      </c>
      <c r="B7" s="2">
        <v>21</v>
      </c>
      <c r="C7" s="2">
        <v>1</v>
      </c>
      <c r="D7" s="4" t="s">
        <v>648</v>
      </c>
    </row>
    <row r="8" spans="1:4">
      <c r="A8" s="12" t="s">
        <v>64</v>
      </c>
      <c r="B8" s="2">
        <v>17</v>
      </c>
      <c r="C8" s="2">
        <v>22</v>
      </c>
      <c r="D8" s="4" t="s">
        <v>649</v>
      </c>
    </row>
    <row r="9" spans="1:4">
      <c r="A9" s="12" t="s">
        <v>110</v>
      </c>
      <c r="B9" s="2">
        <v>7</v>
      </c>
      <c r="C9" s="2">
        <v>39</v>
      </c>
      <c r="D9" s="4" t="s">
        <v>650</v>
      </c>
    </row>
    <row r="10" spans="1:4">
      <c r="A10" s="12" t="s">
        <v>128</v>
      </c>
      <c r="B10" s="2">
        <v>21</v>
      </c>
      <c r="C10" s="2">
        <v>46</v>
      </c>
      <c r="D10" s="4" t="s">
        <v>651</v>
      </c>
    </row>
    <row r="11" spans="1:4">
      <c r="A11" s="12" t="s">
        <v>185</v>
      </c>
      <c r="B11" s="2">
        <v>7</v>
      </c>
      <c r="C11" s="2">
        <v>67</v>
      </c>
      <c r="D11" s="4" t="s">
        <v>652</v>
      </c>
    </row>
    <row r="12" spans="1:4">
      <c r="A12" s="12" t="s">
        <v>205</v>
      </c>
      <c r="B12" s="2">
        <v>10</v>
      </c>
      <c r="C12" s="2">
        <v>74</v>
      </c>
      <c r="D12" s="4" t="s">
        <v>653</v>
      </c>
    </row>
    <row r="13" spans="1:4">
      <c r="A13" s="12" t="s">
        <v>231</v>
      </c>
      <c r="B13" s="2">
        <v>19</v>
      </c>
      <c r="C13" s="2">
        <v>84</v>
      </c>
      <c r="D13" s="4" t="s">
        <v>654</v>
      </c>
    </row>
    <row r="14" spans="1:4">
      <c r="A14" s="12" t="s">
        <v>283</v>
      </c>
      <c r="B14" s="2">
        <v>15</v>
      </c>
      <c r="C14" s="2">
        <v>103</v>
      </c>
      <c r="D14" s="4" t="s">
        <v>655</v>
      </c>
    </row>
    <row r="15" spans="1:4">
      <c r="A15" s="12" t="s">
        <v>322</v>
      </c>
      <c r="B15" s="2">
        <v>19</v>
      </c>
      <c r="C15" s="2">
        <v>118</v>
      </c>
      <c r="D15" s="4" t="s">
        <v>656</v>
      </c>
    </row>
    <row r="16" spans="1:4">
      <c r="A16" s="12" t="s">
        <v>375</v>
      </c>
      <c r="B16" s="2">
        <v>14</v>
      </c>
      <c r="C16" s="2">
        <v>137</v>
      </c>
      <c r="D16" s="4" t="s">
        <v>657</v>
      </c>
    </row>
    <row r="17" spans="1:4">
      <c r="A17" s="12" t="s">
        <v>408</v>
      </c>
      <c r="B17" s="2">
        <v>36</v>
      </c>
      <c r="C17" s="2">
        <v>151</v>
      </c>
      <c r="D17" s="4" t="s">
        <v>658</v>
      </c>
    </row>
    <row r="18" spans="1:4">
      <c r="A18" s="12" t="s">
        <v>513</v>
      </c>
      <c r="B18" s="2">
        <v>7</v>
      </c>
      <c r="C18" s="2">
        <v>187</v>
      </c>
      <c r="D18" s="4" t="s">
        <v>659</v>
      </c>
    </row>
    <row r="19" spans="1:4">
      <c r="A19" s="12" t="s">
        <v>532</v>
      </c>
      <c r="B19" s="2">
        <v>14</v>
      </c>
      <c r="C19" s="2">
        <v>194</v>
      </c>
      <c r="D19" s="4" t="s">
        <v>660</v>
      </c>
    </row>
    <row r="20" spans="1:4">
      <c r="A20" s="12" t="s">
        <v>567</v>
      </c>
      <c r="B20" s="2">
        <v>8</v>
      </c>
      <c r="C20" s="2">
        <v>208</v>
      </c>
      <c r="D20" s="4" t="s">
        <v>661</v>
      </c>
    </row>
    <row r="21" spans="1:4">
      <c r="A21" s="12" t="s">
        <v>590</v>
      </c>
      <c r="B21" s="2">
        <v>18</v>
      </c>
      <c r="C21" s="2">
        <v>216</v>
      </c>
      <c r="D21" s="4" t="s">
        <v>662</v>
      </c>
    </row>
    <row r="22" spans="1:4">
      <c r="A22" s="13" t="s">
        <v>663</v>
      </c>
      <c r="B22" s="14">
        <f>SUM(B7:B21)</f>
        <v>233</v>
      </c>
      <c r="C22" s="15"/>
      <c r="D22" s="15"/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d7d440d-00c1-4e30-bec3-494c224429a7}" enabled="1" method="Privileged" siteId="{12e21b39-4efe-4165-a423-387287d871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Anantha Sravani</cp:lastModifiedBy>
  <cp:revision>0</cp:revision>
  <dcterms:created xsi:type="dcterms:W3CDTF">2026-09-15T22:53:24Z</dcterms:created>
  <dcterms:modified xsi:type="dcterms:W3CDTF">2026-09-22T09:33:26Z</dcterms:modified>
  <cp:category/>
  <cp:contentStatus/>
</cp:coreProperties>
</file>