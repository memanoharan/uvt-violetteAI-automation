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angelidis/Desktop/"/>
    </mc:Choice>
  </mc:AlternateContent>
  <xr:revisionPtr revIDLastSave="0" documentId="13_ncr:1_{6CAABF5C-15B6-AE46-BE91-618B3942A6CE}" xr6:coauthVersionLast="47" xr6:coauthVersionMax="47" xr10:uidLastSave="{00000000-0000-0000-0000-000000000000}"/>
  <bookViews>
    <workbookView xWindow="0" yWindow="780" windowWidth="41120" windowHeight="25800" tabRatio="500" xr2:uid="{00000000-000D-0000-FFFF-FFFF00000000}"/>
  </bookViews>
  <sheets>
    <sheet name="Q&amp;A Bank" sheetId="1" r:id="rId1"/>
    <sheet name="Category Index" sheetId="2" r:id="rId2"/>
  </sheets>
  <definedNames>
    <definedName name="_xlnm._FilterDatabase" localSheetId="0" hidden="1">'Q&amp;A Bank'!$A$1:$F$209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2" l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<sst xmlns="http://schemas.openxmlformats.org/spreadsheetml/2006/main" count="877" uniqueCount="606">
  <si>
    <t>ID</t>
  </si>
  <si>
    <t>Category</t>
  </si>
  <si>
    <t>Question</t>
  </si>
  <si>
    <t>Answer (voice-ready)</t>
  </si>
  <si>
    <t>Source Section(s)</t>
  </si>
  <si>
    <t>Answer word count</t>
  </si>
  <si>
    <t>Basic Info &amp; Dimensions</t>
  </si>
  <si>
    <t>How tall is the seat on my X-47?</t>
  </si>
  <si>
    <t>Seat height is 820 millimetres. Saddled, with a rider on board, it settles to 805.</t>
  </si>
  <si>
    <t>Technical Data Sheet - Dimensions (p.22)</t>
  </si>
  <si>
    <t>What's the wheelbase?</t>
  </si>
  <si>
    <t>1385 millimetres on every variant.</t>
  </si>
  <si>
    <t>How much does the bike weigh?</t>
  </si>
  <si>
    <t>Kerb weight is 197 kilos for Original and Original Plus. Recon and Recon Plus are 208 kilos.</t>
  </si>
  <si>
    <t>What's the ground clearance?</t>
  </si>
  <si>
    <t>200 millimetres.</t>
  </si>
  <si>
    <t>How long and wide is the bike?</t>
  </si>
  <si>
    <t>2060 millimetres long, 867 wide, and 1220 tall.</t>
  </si>
  <si>
    <t>What tyre pressure should I run?</t>
  </si>
  <si>
    <t>32 psi front and 34 psi rear. Always check them cold, before you ride.</t>
  </si>
  <si>
    <t>Periodic Maintenance - Tyre pressure (p.97)</t>
  </si>
  <si>
    <t>What size tyres does the X-47 use?</t>
  </si>
  <si>
    <t>110/70 R17 at the front and 150/60 R17 at the rear. They're MRF Revz-AT 03.</t>
  </si>
  <si>
    <t>Technical Data Sheet - Mechanical (p.21)</t>
  </si>
  <si>
    <t>What's the top speed?</t>
  </si>
  <si>
    <t>145 kilometres per hour, on all variants.</t>
  </si>
  <si>
    <t>Technical Data Sheet - Performance (p.15)</t>
  </si>
  <si>
    <t>How quick is zero to sixty?</t>
  </si>
  <si>
    <t>2.8 seconds on Original, 2.7 on Recon. Zero to hundred takes 8.2 and 8.1 seconds.</t>
  </si>
  <si>
    <t>How much power and torque does it make?</t>
  </si>
  <si>
    <t>Original makes 27 kilowatts and 90 newton metres. Recon makes 30 kilowatts and 100 newton metres.</t>
  </si>
  <si>
    <t>What's the rear wheel torque figure?</t>
  </si>
  <si>
    <t>550 newton metres on Original, and 610 on Recon.</t>
  </si>
  <si>
    <t>What kind of motor is fitted?</t>
  </si>
  <si>
    <t>A permanent magnet AC motor, with ride-by-wire throttle control.</t>
  </si>
  <si>
    <t>Technical Data Sheet - Drivetrain (p.20)</t>
  </si>
  <si>
    <t>What frame does the X-47 use?</t>
  </si>
  <si>
    <t>A steel trellis frame with an aluminium bulkhead.</t>
  </si>
  <si>
    <t>Tell me about the suspension.</t>
  </si>
  <si>
    <t>Upside-down telescopic forks, 41 millimetres, preload adjustable. The rear is a preload adjustable monoshock.</t>
  </si>
  <si>
    <t>What brakes does it have?</t>
  </si>
  <si>
    <t>Hydraulic discs, dual channel. A 320 millimetre front disc with a four piston radial caliper, and a 230 millimetre rear.</t>
  </si>
  <si>
    <t>Where do I find my VIN?</t>
  </si>
  <si>
    <t>It's engraved on the right side of the steering headtube. Seventeen characters, unique to your bike.</t>
  </si>
  <si>
    <t>Motorcycle Identification (p.8)</t>
  </si>
  <si>
    <t>Where's the motor serial number?</t>
  </si>
  <si>
    <t>On the motor casing, with a label alongside. You can see it from the rear, near the rear suspension.</t>
  </si>
  <si>
    <t>What variants of the X-47 are there?</t>
  </si>
  <si>
    <t>Original and Original Plus, Recon and Recon Plus, and the Desert Wing.</t>
  </si>
  <si>
    <t>Technical Data Sheet (p.15-23)</t>
  </si>
  <si>
    <t>What makes the Desert Wing special?</t>
  </si>
  <si>
    <t>Exclusive Sandstorm colour, a dashcam module, and a soft case pannier kit. Everything else matches the Recon Plus.</t>
  </si>
  <si>
    <t>Technical Data Sheet - Desert Wing (p.23)</t>
  </si>
  <si>
    <t>What operating system runs the display?</t>
  </si>
  <si>
    <t>UV Automotive Linux OS, on a five inch multifunction TFT.</t>
  </si>
  <si>
    <t>Technical Data Sheet - Smart Tech (p.18)</t>
  </si>
  <si>
    <t>Ride Modes &amp; Performance</t>
  </si>
  <si>
    <t>What ride modes do I get?</t>
  </si>
  <si>
    <t>Three: Glide, Combat and Ballistic. There's also Hover, which only comes on automatically.</t>
  </si>
  <si>
    <t>Ride Modes (p.33-35)</t>
  </si>
  <si>
    <t>What's Glide mode for?</t>
  </si>
  <si>
    <t>Maximum range. It's available all the way from 100 percent down to 5 percent charge.</t>
  </si>
  <si>
    <t>Ride Modes - Glide (p.33)</t>
  </si>
  <si>
    <t>When should I use Combat mode?</t>
  </si>
  <si>
    <t>It's the balanced mode, tuned for city riding. Available from 100 percent down to 20 percent charge.</t>
  </si>
  <si>
    <t>Ride Modes - Combat (p.34)</t>
  </si>
  <si>
    <t>What does Ballistic mode do?</t>
  </si>
  <si>
    <t>It unlocks peak acceleration and performance. You need at least 30 percent charge to use it.</t>
  </si>
  <si>
    <t>Ride Modes - Ballistic (p.34)</t>
  </si>
  <si>
    <t>Why can't I select Ballistic mode?</t>
  </si>
  <si>
    <t>Either your charge is at or below 29 percent, or the battery is too hot. Ballistic switches off above 50 degrees battery temperature.</t>
  </si>
  <si>
    <t>Ride Modes - Ballistic (p.34); System Notifications (p.58)</t>
  </si>
  <si>
    <t>What is Hover mode?</t>
  </si>
  <si>
    <t>An emergency reserve that kicks in automatically at 5 percent charge. It caps you at 25 kilometres per hour to reach a charger.</t>
  </si>
  <si>
    <t>Ride Modes - Hover (p.35)</t>
  </si>
  <si>
    <t>How far can I go in Hover mode?</t>
  </si>
  <si>
    <t>Roughly 5 to 10 kilometres, depending on conditions. Range prediction isn't shown in Hover.</t>
  </si>
  <si>
    <t>Can I choose Hover mode myself?</t>
  </si>
  <si>
    <t>No. It isn't on the mode switch and only activates on its own at 5 percent charge.</t>
  </si>
  <si>
    <t>How do I change ride modes?</t>
  </si>
  <si>
    <t>Press and release the motor arm switch on the right console. It cycles Glide, Combat, Ballistic.</t>
  </si>
  <si>
    <t>RH Switch Console (p.31)</t>
  </si>
  <si>
    <t>What is Park Assist?</t>
  </si>
  <si>
    <t>A walking-pace mode for tight spaces, with forward and reverse. Hold any brake and hold the park assist input to enter.</t>
  </si>
  <si>
    <t>Ride Modes - Park Assist (p.36)</t>
  </si>
  <si>
    <t>How fast does Park Assist go?</t>
  </si>
  <si>
    <t>5 kilometres per hour forward, and 3 in reverse.</t>
  </si>
  <si>
    <t>How do I switch between forward and reverse in Park Assist?</t>
  </si>
  <si>
    <t>The throttle must be closed and the bike completely stopped. Only then will it swap direction.</t>
  </si>
  <si>
    <t>How does the throttle work on an electric bike?</t>
  </si>
  <si>
    <t>It's fully electronic, ride-by-wire. Response changes with the ride mode you've selected.</t>
  </si>
  <si>
    <t>Throttle Control (p.32)</t>
  </si>
  <si>
    <t>What happens when I close the throttle completely?</t>
  </si>
  <si>
    <t>Regenerative braking takes over. It converts your momentum back into charge for the battery.</t>
  </si>
  <si>
    <t>Range &amp; Efficiency</t>
  </si>
  <si>
    <t>What's the claimed range?</t>
  </si>
  <si>
    <t>211 kilometres IDC on Original, and 323 on Recon.</t>
  </si>
  <si>
    <t>Technical Data Sheet - Range Estimates (p.15)</t>
  </si>
  <si>
    <t>What range do I actually get in each mode?</t>
  </si>
  <si>
    <t>On Original: about 183 in Glide, 144 in Combat, 128 in Ballistic. On Recon: 266, 209 and 186.</t>
  </si>
  <si>
    <t>What affects my range the most?</t>
  </si>
  <si>
    <t>Speed, hard acceleration, stop-start traffic, temperature and elevation. Tyre pressure and payload matter too.</t>
  </si>
  <si>
    <t>Ride Modes - Motorcycle Range (p.37)</t>
  </si>
  <si>
    <t>How do I get the most range out of a charge?</t>
  </si>
  <si>
    <t>Accelerate gently, brake early, and stick to speed limits. Keep tyre pressures right and regen switched on.</t>
  </si>
  <si>
    <t>What payload is the range figure based on?</t>
  </si>
  <si>
    <t>Rider plus pillion, at 75 kilos each.</t>
  </si>
  <si>
    <t>What's the watt-hour per kilometre number on my display?</t>
  </si>
  <si>
    <t>It's your live energy consumption. Lower is more efficient, and the cluster also shows a recommended target.</t>
  </si>
  <si>
    <t>User Interface - Vector (p.27-28)</t>
  </si>
  <si>
    <t>What consumption should I aim for in each mode?</t>
  </si>
  <si>
    <t>Under 40 watt-hours per kilometre in Glide. Under 52 in Combat, and under 60 in Ballistic.</t>
  </si>
  <si>
    <t>Battery &amp; Charging</t>
  </si>
  <si>
    <t>How big is the battery?</t>
  </si>
  <si>
    <t>7.1 kilowatt-hours on Original, that's the SRB7 pack. Recon gets the 10.3 kilowatt-hour SRB10.</t>
  </si>
  <si>
    <t>Technical Data Sheet - Battery System (p.19)</t>
  </si>
  <si>
    <t>How long does the standard portable charger take?</t>
  </si>
  <si>
    <t>20 to 80 percent in about 3 hours on Original, and 5 hours on Recon.</t>
  </si>
  <si>
    <t>Technical Data Sheet - Charging (p.17)</t>
  </si>
  <si>
    <t>How fast is the onboard charger?</t>
  </si>
  <si>
    <t>20 to 80 percent in 2 hours 40 on Original Plus, or 4 hours on Recon Plus. It's a 1.6 kilowatt unit.</t>
  </si>
  <si>
    <t>Technical Data Sheet - Charging (p.17); Battery &amp; Charging (p.44)</t>
  </si>
  <si>
    <t>What is the boost charger?</t>
  </si>
  <si>
    <t>Parallel charging through two ports, 3.2 kilowatts total. It roughly halves your charging time.</t>
  </si>
  <si>
    <t>Battery &amp; Charging - Boost charger (p.46)</t>
  </si>
  <si>
    <t>How long does boost charging take?</t>
  </si>
  <si>
    <t>20 to 80 percent in 1 hour 20 on Original Plus. About 2 hours on Recon Plus.</t>
  </si>
  <si>
    <t>How quick is DC fast charging?</t>
  </si>
  <si>
    <t>On the 12 kilowatt Supernova Plus network, 20 to 80 percent takes 40 minutes on Original and 60 on Recon.</t>
  </si>
  <si>
    <t>What charging connector does the X-47 use?</t>
  </si>
  <si>
    <t>IEC 62196-6, which is compatible with external DC chargers.</t>
  </si>
  <si>
    <t>Technical Data Sheet - Charging (p.17); Battery &amp; Charging (p.42)</t>
  </si>
  <si>
    <t>What socket do I need at home?</t>
  </si>
  <si>
    <t>A 16 amp socket, protected by a 16 amp MCB with 2.5 square millimetre cable. Make sure the house is properly earthed.</t>
  </si>
  <si>
    <t>Battery &amp; Charging - DC Charging (p.42, 45)</t>
  </si>
  <si>
    <t>How do I know charging has actually started?</t>
  </si>
  <si>
    <t>The charging indicator on the cluster blinks. If it doesn't blink, or the logo stays dark, call support.</t>
  </si>
  <si>
    <t>Battery &amp; Charging (p.42-43)</t>
  </si>
  <si>
    <t>Can I charge in the rain?</t>
  </si>
  <si>
    <t>No. Avoid charging in rain or when the port is wet, and never charge a bike that's been submerged.</t>
  </si>
  <si>
    <t>Battery &amp; Charging (p.43)</t>
  </si>
  <si>
    <t>Where should I charge the bike?</t>
  </si>
  <si>
    <t>Somewhere well ventilated, at least 20 metres from anything combustible.</t>
  </si>
  <si>
    <t>Battery &amp; Charging - DC Charging (p.42)</t>
  </si>
  <si>
    <t>What temperature range does the battery work in?</t>
  </si>
  <si>
    <t>Zero to 55 degrees Celsius. Outside that, the management system shuts things down while parked.</t>
  </si>
  <si>
    <t>Battery &amp; Charging - Battery Pack (p.41)</t>
  </si>
  <si>
    <t>Why won't it charge on a hot day?</t>
  </si>
  <si>
    <t>Charging stops above 50 degrees. Let the pack cool down and try again.</t>
  </si>
  <si>
    <t>Why did I lose a couple of percent overnight?</t>
  </si>
  <si>
    <t>A 1 to 2 percent drop is normal. It comes from routine data syncing with the app.</t>
  </si>
  <si>
    <t>What charge limit should I set?</t>
  </si>
  <si>
    <t>Ultraviolette recommends 90 percent, so regenerative braking keeps working. You can pick 80, 90 or 100 in the app.</t>
  </si>
  <si>
    <t>Mobile App - Charging Limits (p.122)</t>
  </si>
  <si>
    <t>How do I make the battery last longer?</t>
  </si>
  <si>
    <t>Avoid leaving it sitting at a high state of charge. For storage, park it around 50 to 60 percent.</t>
  </si>
  <si>
    <t>Battery &amp; Charging - Battery Life (p.41); Settings-Deep Sleep (p.67)</t>
  </si>
  <si>
    <t>How do I unplug safely when it's done?</t>
  </si>
  <si>
    <t>Switch the charger off first, then unplug the connector from the bike and the PRCD from the wall.</t>
  </si>
  <si>
    <t>Battery &amp; Charging (p.41, 45)</t>
  </si>
  <si>
    <t>What is the PRCD?</t>
  </si>
  <si>
    <t>The portable residual current device on your charging cable. Test it from time to time to check it still works.</t>
  </si>
  <si>
    <t>Battery &amp; Charging (p.42, 45); Glossary (p.140)</t>
  </si>
  <si>
    <t>Can I move the bike while it's plugged in?</t>
  </si>
  <si>
    <t>No. Don't operate or move the bike with the charging cable connected.</t>
  </si>
  <si>
    <t>Battery &amp; Charging - Charging Cable Instructions (p.45)</t>
  </si>
  <si>
    <t>Can I charge my phone on the bike?</t>
  </si>
  <si>
    <t>Yes, there's a USB Type-C port below the cluster on the left. It gives 15 watts, 5 volts at 3 amps.</t>
  </si>
  <si>
    <t>Battery &amp; Charging - Type C Charging (p.47)</t>
  </si>
  <si>
    <t>What does IP67 mean for my battery?</t>
  </si>
  <si>
    <t>Fully dust-tight, and protected against temporary immersion up to one metre for 30 minutes.</t>
  </si>
  <si>
    <t>Battery &amp; Charging - What is IP67 (p.47)</t>
  </si>
  <si>
    <t>How is the battery protected?</t>
  </si>
  <si>
    <t>An all-aluminium IP67 enclosure with a patented five-level safety system. That covers mechanical, thermal, electrical, electronic and software protection.</t>
  </si>
  <si>
    <t>Regenerative Braking</t>
  </si>
  <si>
    <t>How does regenerative braking work here?</t>
  </si>
  <si>
    <t>When you decelerate, the motor recovers energy and puts it back in the pack. It activates when you close the throttle.</t>
  </si>
  <si>
    <t>Control-Performance-Regen (p.71); Throttle Control (p.32)</t>
  </si>
  <si>
    <t>How many regen levels do I have?</t>
  </si>
  <si>
    <t>Ten levels, zero through nine. Some variants get four levels, in steps of zero, three, six and nine.</t>
  </si>
  <si>
    <t>Regenerative Braking Levels (p.72)</t>
  </si>
  <si>
    <t>How do I change regen level while riding?</t>
  </si>
  <si>
    <t>Use the left and right navigation keys on the home screen. Left reduces it, right increases it.</t>
  </si>
  <si>
    <t>Control-Performance-Regen (p.71); LH Switch Console (p.30)</t>
  </si>
  <si>
    <t>Why is regen unavailable right now?</t>
  </si>
  <si>
    <t>Either the battery is above 90 percent, or it's colder than 10 degrees. Both block regen.</t>
  </si>
  <si>
    <t>Control-Performance-Regen (p.71)</t>
  </si>
  <si>
    <t>What's the amber regen warning light telling me?</t>
  </si>
  <si>
    <t>That regeneration isn't available. Usually it means your charge is above 90 percent.</t>
  </si>
  <si>
    <t>Tell-Tales (p.26)</t>
  </si>
  <si>
    <t>Where do I see my regen level on the display?</t>
  </si>
  <si>
    <t>Bottom right of the main screen, shown as level bars.</t>
  </si>
  <si>
    <t>Regenerative Braking Levels (p.72); User Interface (p.28)</t>
  </si>
  <si>
    <t>Does regen level affect anything else?</t>
  </si>
  <si>
    <t>Yes. The anti-collision beacon lights only activate at regen level 5 or higher.</t>
  </si>
  <si>
    <t>UV Smart Tech - A.C.W.S. (p.80)</t>
  </si>
  <si>
    <t>Safety &amp; Radar</t>
  </si>
  <si>
    <t>What is UV Hypersense?</t>
  </si>
  <si>
    <t>A Gen 6, 77 gigahertz rear-facing radar at the tail-stay. It watches the areas behind and beside you.</t>
  </si>
  <si>
    <t>UV Hypersense Radar Technology (p.50)</t>
  </si>
  <si>
    <t>What can the radar actually do?</t>
  </si>
  <si>
    <t>Blind spot detection, lane change assist and rear collision warning. Alerts appear in the mirrors and on the cluster.</t>
  </si>
  <si>
    <t>UV Hypersense Radar Technology (p.50-51)</t>
  </si>
  <si>
    <t>What does a steady amber light in my mirror mean?</t>
  </si>
  <si>
    <t>There's a vehicle in your blind spot on that side.</t>
  </si>
  <si>
    <t>Radar - Blind Spot Detection (p.52)</t>
  </si>
  <si>
    <t>What does a flashing amber mirror light mean?</t>
  </si>
  <si>
    <t>Lane change assist. You've indicated, and there's a vehicle in that lane.</t>
  </si>
  <si>
    <t>Radar - Lane Change Assist (p.53)</t>
  </si>
  <si>
    <t>Why are both my mirrors glowing red?</t>
  </si>
  <si>
    <t>Rear collision warning. Something is closing on you fast from behind.</t>
  </si>
  <si>
    <t>Radar - Rear Collision Warning (p.54)</t>
  </si>
  <si>
    <t>Does the bike do anything by itself in a rear collision warning?</t>
  </si>
  <si>
    <t>Yes, the hazard lights come on automatically to warn the vehicle behind.</t>
  </si>
  <si>
    <t>At what speed does the radar start working?</t>
  </si>
  <si>
    <t>Blind spot detection and lane change assist are active above 16 kilometres per hour.</t>
  </si>
  <si>
    <t>Radar - Limitations (p.57)</t>
  </si>
  <si>
    <t>When is the radar less reliable?</t>
  </si>
  <si>
    <t>In heavy rain, snow or fog, on sharp curves and steep hills. Also when you're leaning more than 20 degrees.</t>
  </si>
  <si>
    <t>What is radar blockage detection?</t>
  </si>
  <si>
    <t>If mud or debris covers the sensor, you get a pop-up and a persistent icon. All radar warnings pause until it's cleared.</t>
  </si>
  <si>
    <t>Radar - Blockage Detection (p.55)</t>
  </si>
  <si>
    <t>Can I turn the radar off?</t>
  </si>
  <si>
    <t>Yes. Go to Settings, then Performance, and toggle Radar.</t>
  </si>
  <si>
    <t>Controls-Radar (p.75)</t>
  </si>
  <si>
    <t>What should I never do to the radar?</t>
  </si>
  <si>
    <t>Don't sticker, paint or cover the sensor area, and don't modify the tailstay. Keep luggage and racks clear of it.</t>
  </si>
  <si>
    <t>Radar - Do's and Don'ts (p.56)</t>
  </si>
  <si>
    <t>I had a small knock at the back. Do I need to check the radar?</t>
  </si>
  <si>
    <t>Yes, get it inspected and recalibrated at an authorised service centre. Any impact can throw off its alignment.</t>
  </si>
  <si>
    <t>Radar - Service and Maintenance (p.56)</t>
  </si>
  <si>
    <t>What safety lighting does the X-47 have?</t>
  </si>
  <si>
    <t>Auto-dimming LED headlight, the Ultra-V position lamp and a dual LED tail light. Plus a central brake light and front and rear hazards.</t>
  </si>
  <si>
    <t>Technical Data Sheet - Safety (p.16)</t>
  </si>
  <si>
    <t>What is Dynamic Stability Control?</t>
  </si>
  <si>
    <t>It's included on every variant as part of the safety suite.</t>
  </si>
  <si>
    <t>Technical Data Sheet - D.S.C. (p.17)</t>
  </si>
  <si>
    <t>How should I set my mirrors?</t>
  </si>
  <si>
    <t>So you can just see a sliver of your own shoulders in each one. Remember objects are closer than they appear.</t>
  </si>
  <si>
    <t>Mirror Adjustment (p.90)</t>
  </si>
  <si>
    <t>Rider Aids &amp; Settings</t>
  </si>
  <si>
    <t>How does ABS work on this bike?</t>
  </si>
  <si>
    <t>It uses wheel speed sensors to stop the wheels locking under hard braking. It only engages above 5 kilometres per hour.</t>
  </si>
  <si>
    <t>Controls-Performance-ABS (p.70)</t>
  </si>
  <si>
    <t>Should I pump the brakes when ABS kicks in?</t>
  </si>
  <si>
    <t>No. Hold them firmly. The pulsing you feel in the lever or pedal is normal.</t>
  </si>
  <si>
    <t>Can I turn off the rear ABS?</t>
  </si>
  <si>
    <t>Yes, the dual-channel system lets you deactivate rear-wheel ABS. You select it manually, and a key cycle won't reset it.</t>
  </si>
  <si>
    <t>What traction control settings are there?</t>
  </si>
  <si>
    <t>T1 Sport for minimal intervention, T2 Street for everyday, and T3 Rain for maximum grip assistance.</t>
  </si>
  <si>
    <t>Controls-Performance-Traction Control (p.73)</t>
  </si>
  <si>
    <t>Which traction control mode should I use in the wet?</t>
  </si>
  <si>
    <t>T3, the Rain setting. It intervenes the most on slippery surfaces.</t>
  </si>
  <si>
    <t>How many traction control levels do I get?</t>
  </si>
  <si>
    <t>One level on Original. Four levels on Original Plus, Recon and Recon Plus.</t>
  </si>
  <si>
    <t>Technical Data Sheet - Traction Control (p.16)</t>
  </si>
  <si>
    <t>What does Hill Hold do?</t>
  </si>
  <si>
    <t>It keeps you stationary on a slope without holding the brake. Toggle it on or off in the menu.</t>
  </si>
  <si>
    <t>Controls-Hill Hold (p.74)</t>
  </si>
  <si>
    <t>When does Hill Hold let go?</t>
  </si>
  <si>
    <t>When you apply throttle, tap a brake, or put the side stand down. It also releases after 5 seconds if there's no slope.</t>
  </si>
  <si>
    <t>How long will Hill Hold stay engaged?</t>
  </si>
  <si>
    <t>Up to 5 minutes. After that press either brake to re-engage it.</t>
  </si>
  <si>
    <t>Can I use the menu while riding?</t>
  </si>
  <si>
    <t>No, menu options are locked while the bike is in motion. Regen level is the one thing you can adjust on the move.</t>
  </si>
  <si>
    <t>Control Centre - Menu (p.61); Control-Performance-Regen (p.71)</t>
  </si>
  <si>
    <t>How do I adjust the display brightness?</t>
  </si>
  <si>
    <t>Settings, then Display. Set brightness manually, or leave it on Auto and the light sensor handles it.</t>
  </si>
  <si>
    <t>Settings-Display (p.64)</t>
  </si>
  <si>
    <t>Can I switch to a dark theme?</t>
  </si>
  <si>
    <t>Yes, choose dark or light mode under Settings, Display. Auto switches it with the ambient light.</t>
  </si>
  <si>
    <t>Settings (p.63-64)</t>
  </si>
  <si>
    <t>What is that beeping when I indicate?</t>
  </si>
  <si>
    <t>It's a safety cue for you and people around you. It also sounds for hazards and park assist, and the volume is adjustable from zero to 100 percent.</t>
  </si>
  <si>
    <t>Settings-Sound (p.65)</t>
  </si>
  <si>
    <t>Can I change the clock format?</t>
  </si>
  <si>
    <t>Yes, 12 or 24 hour under Settings, Time. The time zone is set to India, and only support can change it.</t>
  </si>
  <si>
    <t>Settings-Time (p.68)</t>
  </si>
  <si>
    <t>What's on the left switch console?</t>
  </si>
  <si>
    <t>Horn, high and low beam with pass flash, hazard lights, the console control button and the turn signal switch.</t>
  </si>
  <si>
    <t>LH Switch Console (p.30)</t>
  </si>
  <si>
    <t>What does the right switch console do?</t>
  </si>
  <si>
    <t>Press left to kill the motor. Press and hold right to arm it, or press and release right to change ride mode.</t>
  </si>
  <si>
    <t>How do I get back to the home screen?</t>
  </si>
  <si>
    <t>Hold the back button on the left console.</t>
  </si>
  <si>
    <t>LH Switch Console - Console controls (p.30)</t>
  </si>
  <si>
    <t>Starting, Stopping &amp; Security</t>
  </si>
  <si>
    <t>How do I start the bike?</t>
  </si>
  <si>
    <t>Turn the key clockwise and wait about 15 seconds while it boots. Then hold a brake and long-press the motor arm switch.</t>
  </si>
  <si>
    <t>Powering On Your X-47 (p.38)</t>
  </si>
  <si>
    <t>Why won't the motor arm?</t>
  </si>
  <si>
    <t>Check the side stand is up and the throttle is fully closed. You also need a brake applied while you hold the arm switch.</t>
  </si>
  <si>
    <t>Powering On (p.38); System Notifications (p.58-59)</t>
  </si>
  <si>
    <t>How do I shut the bike down properly?</t>
  </si>
  <si>
    <t>Come to a complete stop, press the kill switch, then turn the key anticlockwise. Take the key with you.</t>
  </si>
  <si>
    <t>Powering Off Your X-47 (p.39)</t>
  </si>
  <si>
    <t>Can I turn the key off while riding?</t>
  </si>
  <si>
    <t>Never. Don't switch off while the bike is moving or still running.</t>
  </si>
  <si>
    <t>How do I lock the steering?</t>
  </si>
  <si>
    <t>Turn the bar fully to either side, key off. Push the key in, rotate anticlockwise to lock, then remove it.</t>
  </si>
  <si>
    <t>Steering Lock (p.40)</t>
  </si>
  <si>
    <t>Will the bike ride with the side stand down?</t>
  </si>
  <si>
    <t>No. The side stand kill feature blocks the motor in every drive mode.</t>
  </si>
  <si>
    <t>Parking/Sidestand (p.29); Powering On (p.38)</t>
  </si>
  <si>
    <t>What is Deep Sleep mode?</t>
  </si>
  <si>
    <t>It shuts down non-essential systems for long layoffs. It holds charge for up to three months from a full battery.</t>
  </si>
  <si>
    <t>Settings-Deep Sleep (p.66)</t>
  </si>
  <si>
    <t>How do I turn Deep Sleep on and off?</t>
  </si>
  <si>
    <t>Enable it under Settings, Deep Sleep. To wake the bike, turn the key on or plug in the charger.</t>
  </si>
  <si>
    <t>Settings-Deep Sleep (p.66-67)</t>
  </si>
  <si>
    <t>Does Deep Sleep ever switch itself on?</t>
  </si>
  <si>
    <t>Yes, automatically once charge drops below 23 percent while parked.</t>
  </si>
  <si>
    <t>What's the ideal charge level for Deep Sleep?</t>
  </si>
  <si>
    <t>Between 50 and 60 percent. That's best for long-term battery health.</t>
  </si>
  <si>
    <t>Settings-Deep Sleep (p.67)</t>
  </si>
  <si>
    <t>What is Lockdown mode?</t>
  </si>
  <si>
    <t>An app-triggered immobiliser for theft or unauthorised use. You confirm it with a four-digit code.</t>
  </si>
  <si>
    <t>Mobile App - Assist &gt; Lockdown (p.130)</t>
  </si>
  <si>
    <t>Can I lock the bike down while it's moving?</t>
  </si>
  <si>
    <t>No. Lockdown only activates once the bike is stationary and in network coverage.</t>
  </si>
  <si>
    <t>Smart Tech &amp; App</t>
  </si>
  <si>
    <t>What is Violette AI?</t>
  </si>
  <si>
    <t>An optional smart co-pilot that learns from you and real-world data. It covers Delta Watch, Lockdown, crash alert, collision warning and ride analytics.</t>
  </si>
  <si>
    <t>UV Smart Tech - Violette AI (p.79); Technical Data Sheet (p.18)</t>
  </si>
  <si>
    <t>What happens if I crash?</t>
  </si>
  <si>
    <t>Crash Alert notifies your app, cuts the motor and sounds the horn. It also shows your emergency contact for bystanders.</t>
  </si>
  <si>
    <t>UV Smart Tech - Crash Alert (p.79)</t>
  </si>
  <si>
    <t>Does Crash Alert call emergency services?</t>
  </si>
  <si>
    <t>No. It only raises an alert. It's there to help you or a bystander respond.</t>
  </si>
  <si>
    <t>UV Smart Tech - Crash Alert (p.80)</t>
  </si>
  <si>
    <t>What is the Anti-Collision Warning System?</t>
  </si>
  <si>
    <t>Beacon lighting that makes you more visible. The tail light and indicators blink rapidly under regen, mimicking aircraft light patterns.</t>
  </si>
  <si>
    <t>Does the bike stay visible when parked?</t>
  </si>
  <si>
    <t>Yes, with the beacon system on, the tail light blinks every 30 seconds.</t>
  </si>
  <si>
    <t>What is Delta Watch?</t>
  </si>
  <si>
    <t>Parked security monitoring. It gives movement, fall and tow alerts, flashes the lights and sounds the horn if someone tampers with the bike.</t>
  </si>
  <si>
    <t>UV Smart Tech - Delta Watch (p.81)</t>
  </si>
  <si>
    <t>How do I know Delta Watch is armed?</t>
  </si>
  <si>
    <t>The tail lights blink to confirm it's active. Alerts themselves only appear in the Ultraviolette app.</t>
  </si>
  <si>
    <t>What do I need for Violette AI to work?</t>
  </si>
  <si>
    <t>The bike, your phone and the app all need to be working and in network coverage.</t>
  </si>
  <si>
    <t>What can I control from the app?</t>
  </si>
  <si>
    <t>Hill hold, ABS, traction control and regen, plus charge limits, trips and console theme. There's also navigation, diagnostics and statistics.</t>
  </si>
  <si>
    <t>Mobile App - Controls Section (p.118-119)</t>
  </si>
  <si>
    <t>How do I set a charge limit?</t>
  </si>
  <si>
    <t>In the app, go to Controls then Energy. Pick 80, 90 or 100 percent.</t>
  </si>
  <si>
    <t>Can I keep my documents on the bike?</t>
  </si>
  <si>
    <t>Yes. Upload your licence, registration and insurance in the app, and they sync to the bike's display.</t>
  </si>
  <si>
    <t>Control Centre - Documents (p.76); Settings &gt; Documents (p.125)</t>
  </si>
  <si>
    <t>How do I connect my phone to the bike?</t>
  </si>
  <si>
    <t>Through Bluetooth, from Menu then Bluetooth. That enables push notifications and update info.</t>
  </si>
  <si>
    <t>Network-Bluetooth (p.76)</t>
  </si>
  <si>
    <t>What is Incognito ride mode?</t>
  </si>
  <si>
    <t>A privacy option in the app that keeps a ride out of your regular statistics.</t>
  </si>
  <si>
    <t>Mobile App - Statistics Section (p.123); Settings Section (p.124)</t>
  </si>
  <si>
    <t>How does navigation work?</t>
  </si>
  <si>
    <t>Plan the route in the Ultraviolette app, and it's mirrored on the bike with live directions.</t>
  </si>
  <si>
    <t>Control Centre - Navigate (p.62)</t>
  </si>
  <si>
    <t>What is the UV Squadron?</t>
  </si>
  <si>
    <t>An owners' community inside the app. You get product updates, technical insights, and a chat with other riders.</t>
  </si>
  <si>
    <t>UV Squadron (p.132); Assist &gt; UV Squadron (p.129)</t>
  </si>
  <si>
    <t>Where do I find my IMEI and software version?</t>
  </si>
  <si>
    <t>Under My X-47 in the menu. It also shows your colour, variant and VIN.</t>
  </si>
  <si>
    <t>Control Centre - My X-47 (p.61)</t>
  </si>
  <si>
    <t>What is TPMS and do I have it?</t>
  </si>
  <si>
    <t>Tyre pressure monitoring. It's an optional accessory, and must be fitted at a UV service centre because it replaces the valves.</t>
  </si>
  <si>
    <t>Tyre Pressure Monitoring System (p.78)</t>
  </si>
  <si>
    <t>Can I trust the TPMS reading exactly?</t>
  </si>
  <si>
    <t>It's continuous but not real-time, and shifts with temperature. Always check pressures cold before you ride.</t>
  </si>
  <si>
    <t>Warnings &amp; Tell-Tales</t>
  </si>
  <si>
    <t>What does a red warning light mean?</t>
  </si>
  <si>
    <t>The vehicle control unit has found a critical error. Contact Ultraviolette support immediately.</t>
  </si>
  <si>
    <t>Tell-Tales (p.25)</t>
  </si>
  <si>
    <t>My ABS light is on and won't go out. What now?</t>
  </si>
  <si>
    <t>It's normal until about 5 kilometres per hour. If it stays lit above that, there's a fault, so contact support.</t>
  </si>
  <si>
    <t>The traction control light is solid. Is that a problem?</t>
  </si>
  <si>
    <t>A blink just means it's working. Solid means it's switched off or faulty, so get it checked.</t>
  </si>
  <si>
    <t>What is the motor health indicator showing me?</t>
  </si>
  <si>
    <t>Whether the motor is armed, and its temperature. It changes state above 112 degrees and again above 120.</t>
  </si>
  <si>
    <t>User Interface - Vector (p.27)</t>
  </si>
  <si>
    <t>What does Motor in Deration mean?</t>
  </si>
  <si>
    <t>The motor has exceeded its temperature limit and is reducing power. Park for 15 to 20 minutes to let it cool.</t>
  </si>
  <si>
    <t>System Notifications (p.58); Troubleshooting (p.110)</t>
  </si>
  <si>
    <t>What does the amber service light mean?</t>
  </si>
  <si>
    <t>Your bike is running an over-the-air software update.</t>
  </si>
  <si>
    <t>What happens at 29 percent charge?</t>
  </si>
  <si>
    <t>Ballistic drops out and you're switched to Combat. You get an on-screen notification.</t>
  </si>
  <si>
    <t>System Notifications (p.58, 60)</t>
  </si>
  <si>
    <t>What happens at 19 percent charge?</t>
  </si>
  <si>
    <t>Combat becomes unavailable and the bike switches to Glide.</t>
  </si>
  <si>
    <t>When do I get the critically low battery warning?</t>
  </si>
  <si>
    <t>At 6 percent. It warns you that Hover mode starts at 5.</t>
  </si>
  <si>
    <t>System Notifications (p.59)</t>
  </si>
  <si>
    <t>What's the tyre pressure abnormal alert?</t>
  </si>
  <si>
    <t>TPMS has found a tyre outside its limits. It repeats every key cycle until you correct it.</t>
  </si>
  <si>
    <t>What does the ambient light sensor do?</t>
  </si>
  <si>
    <t>It reads the light around you and adjusts display brightness and headlight settings automatically.</t>
  </si>
  <si>
    <t>Maintenance &amp; Care</t>
  </si>
  <si>
    <t>What should I check before every ride?</t>
  </si>
  <si>
    <t>Charge and range, cluster warnings, mirrors, throttle, brakes and lights. Plus cold tyre pressures and chain condition.</t>
  </si>
  <si>
    <t>Before Starting Your Motorcycle (p.48-49)</t>
  </si>
  <si>
    <t>How often does the chain need attention?</t>
  </si>
  <si>
    <t>Clean, lubricate and check slack every 500 kilometres. Do it sooner if it looks dry.</t>
  </si>
  <si>
    <t>Chain Cleaning and Lubrication (p.107); Troubleshooting (p.111)</t>
  </si>
  <si>
    <t>What chain slack should I set?</t>
  </si>
  <si>
    <t>40 millimetres.</t>
  </si>
  <si>
    <t>Troubleshooting - Chain Noise (p.111)</t>
  </si>
  <si>
    <t>Can I use a pressure washer on the chain?</t>
  </si>
  <si>
    <t>No. High pressure washers, solvents and steam damage the X-ring seals.</t>
  </si>
  <si>
    <t>Chain Cleaning and Lubrication (p.107)</t>
  </si>
  <si>
    <t>How should I wash the bike?</t>
  </si>
  <si>
    <t>Soft cloth or sponge, mild automotive shampoo, and water pressure below 90 bar. Never use a high pressure system.</t>
  </si>
  <si>
    <t>Cleaning and Washing (p.88-89)</t>
  </si>
  <si>
    <t>Anything to watch for right after washing?</t>
  </si>
  <si>
    <t>Braking is temporarily reduced. Apply the brakes a few times before you set off, and expect longer stopping distances.</t>
  </si>
  <si>
    <t>Cleaning and Washing (p.89)</t>
  </si>
  <si>
    <t>What brake fluid does the X-47 take?</t>
  </si>
  <si>
    <t>DOT 4, from a sealed container. Never reuse fluid that's been open to the air.</t>
  </si>
  <si>
    <t>Brakes (p.98-100)</t>
  </si>
  <si>
    <t>When does brake fluid get replaced?</t>
  </si>
  <si>
    <t>First change at 12 months or 20,000 kilometres, whichever comes first. After that, every 24 months or 20,000.</t>
  </si>
  <si>
    <t>Brake Fluid Specification (p.100)</t>
  </si>
  <si>
    <t>When do brake pads need replacing?</t>
  </si>
  <si>
    <t>When either pad is thinner than 1 millimetre. Replace them before riding again.</t>
  </si>
  <si>
    <t>Brake Pad Inspection (p.101)</t>
  </si>
  <si>
    <t>What's the minimum brake disc thickness?</t>
  </si>
  <si>
    <t>4.5 millimetres at the front and 4.0 at the rear.</t>
  </si>
  <si>
    <t>Brake Disc Inspection (p.101)</t>
  </si>
  <si>
    <t>What suspension sag should I be aiming for?</t>
  </si>
  <si>
    <t>About 35 millimetres total at the front, and 15 at the rear.</t>
  </si>
  <si>
    <t>Suspension (p.102)</t>
  </si>
  <si>
    <t>How do I adjust the front fork preload?</t>
  </si>
  <si>
    <t>Fit the preload tool and turn slowly. Clockwise is stiffer, anticlockwise is softer, and keep both forks equal.</t>
  </si>
  <si>
    <t>Front USD Fork - Preload Adjustment (p.102-103)</t>
  </si>
  <si>
    <t>How should I set rear preload for my weight?</t>
  </si>
  <si>
    <t>65 to 85 kilos is the factory 5 millimetre setting. 85 to 110 adds 5 millimetres, and above 110 kilos use maximum preload.</t>
  </si>
  <si>
    <t>Rear Shock Adjustment Guide (p.106)</t>
  </si>
  <si>
    <t>Can I service the rear shock myself?</t>
  </si>
  <si>
    <t>No. It's pressurised with nitrogen and can explode. Only an authorised service centre should touch it.</t>
  </si>
  <si>
    <t>Rear Shock Absorber (p.103)</t>
  </si>
  <si>
    <t>When do I replace the tyres?</t>
  </si>
  <si>
    <t>When the tread wears down to the tyre wear indicator. Replace them immediately at that point.</t>
  </si>
  <si>
    <t>Tyre Tread / Tyre Wear Indicator (p.96-97)</t>
  </si>
  <si>
    <t>What's in the toolkit and where is it?</t>
  </si>
  <si>
    <t>Under the pillion seat. A preload adjuster, screwdriver, 8 to 10 millimetre spanner, and 8, 5 and 4 millimetre Allen keys.</t>
  </si>
  <si>
    <t>User Tool Kit (p.82); Cleaning and Washing (p.89)</t>
  </si>
  <si>
    <t>How do I adjust the headlight beam?</t>
  </si>
  <si>
    <t>Park 5 metres from a wall, mark it at 0.815 metres, and sit on the bike with low beam on. Then set the height with the Phillips screw.</t>
  </si>
  <si>
    <t>Headlight Beam Adjustment (p.92-93)</t>
  </si>
  <si>
    <t>What's the service schedule?</t>
  </si>
  <si>
    <t>First service at 1,000 kilometres, then every 5,000 up to 50,000. Battery health checks are part of each service.</t>
  </si>
  <si>
    <t>Periodic Maintenance Schedule (p.83-85)</t>
  </si>
  <si>
    <t>Which fuses does the bike have?</t>
  </si>
  <si>
    <t>A 5 amp for the VCU, 10 amp ABS sub, 15 amp ABS main and a 15 amp DC-DC output. There are two spares.</t>
  </si>
  <si>
    <t>Fuse Replacement (p.95)</t>
  </si>
  <si>
    <t>Can I fit a bigger fuse if one keeps blowing?</t>
  </si>
  <si>
    <t>Never. Always use the same amperage, and if it keeps blowing, contact Ultraviolette service.</t>
  </si>
  <si>
    <t>Should I test a fuse with a multimeter?</t>
  </si>
  <si>
    <t>No. It can damage electrical components and give false readings. Pull the fuse and inspect it visually.</t>
  </si>
  <si>
    <t>Storage &amp; Transport</t>
  </si>
  <si>
    <t>How should I store the bike for a long period?</t>
  </si>
  <si>
    <t>Indoors, cool and dry, out of direct sunlight, at 50 to 60 percent charge. Enable Deep Sleep if it's over 10 days.</t>
  </si>
  <si>
    <t>Storage Guidelines (p.108)</t>
  </si>
  <si>
    <t>Do I need to do anything while it's in storage?</t>
  </si>
  <si>
    <t>Switch it on for at least 30 minutes every 10 days to top up the auxiliary battery. Move it occasionally to avoid tyre flat spots.</t>
  </si>
  <si>
    <t>Can I leave it plugged in while stored?</t>
  </si>
  <si>
    <t>No. Leaving the charger connected during long parking harms both the charger and the pack.</t>
  </si>
  <si>
    <t>How do I prepare the bike for transport?</t>
  </si>
  <si>
    <t>Strap it down securely, clean and lube the chain, and remove the 5 amp and 15 amp in-line fuses. Never strap it resting on the side stand.</t>
  </si>
  <si>
    <t>Transportation Guidelines (p.108)</t>
  </si>
  <si>
    <t>What should I do before a long trip?</t>
  </si>
  <si>
    <t>Test the chargers and cables, set tyre pressures, and check pads, ABS and suspension. Carry the toolkit and a puncture repair kit.</t>
  </si>
  <si>
    <t>Long Trip Precautions (p.7)</t>
  </si>
  <si>
    <t>Troubleshooting</t>
  </si>
  <si>
    <t>My bike won't turn on at all. What do I check?</t>
  </si>
  <si>
    <t>The 5 amp fuse under the seat, and the auxiliary battery voltage. It should read 12.6 volts key off, 14.2 volts key on.</t>
  </si>
  <si>
    <t>Troubleshooting (p.110); Fuse Replacement (p.94)</t>
  </si>
  <si>
    <t>The aux battery is low. Can I revive it?</t>
  </si>
  <si>
    <t>If it's between about 10.5 and 12.6 volts, plug in the charger for one to two hours and try again. Below 10 volts it likely needs replacing.</t>
  </si>
  <si>
    <t>Troubleshooting (p.110)</t>
  </si>
  <si>
    <t>The motor won't arm. What's wrong?</t>
  </si>
  <si>
    <t>Usually the throttle isn't fully closed. Release it, then check the brake light comes on with each brake.</t>
  </si>
  <si>
    <t>The bike isn't charging. What should I try?</t>
  </si>
  <si>
    <t>Check the plug is locked into the socket, and test a different power outlet. Look at the PRCD connection too.</t>
  </si>
  <si>
    <t>Troubleshooting (p.111)</t>
  </si>
  <si>
    <t>I'm getting a high battery temperature warning.</t>
  </si>
  <si>
    <t>That's above the permissible limit. Contact Ultraviolette support.</t>
  </si>
  <si>
    <t>My chain is noisy.</t>
  </si>
  <si>
    <t>It's either loose or dry. Set the slack to 40 millimetres, then clean and lubricate it.</t>
  </si>
  <si>
    <t>The brakes are squealing.</t>
  </si>
  <si>
    <t>Check the pads visually and replace them if worn. Dust between the pads can also cause it, so clean the caliper.</t>
  </si>
  <si>
    <t>The handlebar pulls to one side.</t>
  </si>
  <si>
    <t>Check tyre pressures are 32 front and 34 rear. Then make sure both fork preload settings are equal.</t>
  </si>
  <si>
    <t>Troubleshooting (p.112)</t>
  </si>
  <si>
    <t>My headlight visibility is poor.</t>
  </si>
  <si>
    <t>Set the tyre pressures correctly first, then adjust the headlight height.</t>
  </si>
  <si>
    <t>The mirrors look blurry or distorted.</t>
  </si>
  <si>
    <t>They just need readjusting. Use the toolkit and set them so you can see a little of your shoulders.</t>
  </si>
  <si>
    <t>Troubleshooting (p.112); Mirror Adjustment (p.90)</t>
  </si>
  <si>
    <t>The brake lever feels spongy.</t>
  </si>
  <si>
    <t>Stop riding and contact a service centre. Spongy feel or excessive travel risks much longer stopping distances.</t>
  </si>
  <si>
    <t>Brakes (p.98)</t>
  </si>
  <si>
    <t>My bike went through a flood. What do I do?</t>
  </si>
  <si>
    <t>Do not switch it on, move it or charge it. Call UV customer care on 080-694-53322 and let it dry at least 24 hours.</t>
  </si>
  <si>
    <t>Precaution during flooding (p.109)</t>
  </si>
  <si>
    <t>I've had an accident. What should I check?</t>
  </si>
  <si>
    <t>Inspect all components and visible wiring for damage. If anything looks wrong, don't ride, and contact support.</t>
  </si>
  <si>
    <t>Emergencies (p.109)</t>
  </si>
  <si>
    <t>Who do I contact for support?</t>
  </si>
  <si>
    <t>Call 080-6945-3322, or email support at ultraviolette dot com. You can also reach support through the app.</t>
  </si>
  <si>
    <t>Support (p.138)</t>
  </si>
  <si>
    <t>Warranty &amp; Ownership</t>
  </si>
  <si>
    <t>What's my standard vehicle warranty?</t>
  </si>
  <si>
    <t>Three years or 30,000 kilometres, whichever comes first.</t>
  </si>
  <si>
    <t>Technical Data Sheet - Warranty (p.20)</t>
  </si>
  <si>
    <t>How long is the battery and drivetrain covered?</t>
  </si>
  <si>
    <t>UV Care is 3 years or 60,000 kilometres. UV Care Plus extends to 5 years or 100,000, and UV Care Max reaches 8 years.</t>
  </si>
  <si>
    <t>Which parts get the five year cover?</t>
  </si>
  <si>
    <t>The SRB10 battery pack, motor and controller, for 5 years or 100,000 kilometres.</t>
  </si>
  <si>
    <t>Warranty Policy (p.133)</t>
  </si>
  <si>
    <t>Are the tyres and auxiliary battery covered?</t>
  </si>
  <si>
    <t>No, those are warranted separately by their own manufacturers.</t>
  </si>
  <si>
    <t>What voids my warranty?</t>
  </si>
  <si>
    <t>Skipping scheduled service at authorised centres, unauthorised repairs, or non-genuine parts. Racing, rentals and other commercial use also void it.</t>
  </si>
  <si>
    <t>Warranty Policy (p.136)</t>
  </si>
  <si>
    <t>When does my warranty period start?</t>
  </si>
  <si>
    <t>From the invoice date, provided you register the bike with the dealer within 30 days.</t>
  </si>
  <si>
    <t>I'm selling the bike. What about the warranty?</t>
  </si>
  <si>
    <t>Submit a warranty transfer request in writing or electronically. That lets Ultraviolette contact the new owner.</t>
  </si>
  <si>
    <t>Warranty Policy - Ownership transfer (p.136)</t>
  </si>
  <si>
    <t>Advanced / Cross-Topic</t>
  </si>
  <si>
    <t>I charged to 100 percent and now there's no engine braking. Why?</t>
  </si>
  <si>
    <t>Regen is blocked above 90 percent because the pack can't take more energy. Set a 90 percent charge limit in the app to avoid it.</t>
  </si>
  <si>
    <t>Control-Performance-Regen (p.71); Charging Limits (p.122); Tell-Tales (p.26)</t>
  </si>
  <si>
    <t>I'm heading out with 25 percent charge. What should I expect?</t>
  </si>
  <si>
    <t>Ballistic is already gone, and Combat drops out at 19 percent. Below that you're in Glide, and Hover caps you at 25 kilometres per hour from 5 percent.</t>
  </si>
  <si>
    <t>Ride Modes (p.33-35); System Notifications (p.58-60)</t>
  </si>
  <si>
    <t>It's a cold morning and regen feels weak. Is something broken?</t>
  </si>
  <si>
    <t>No. Regen is disabled below 10 degrees battery temperature. It'll return as the pack warms up on the move.</t>
  </si>
  <si>
    <t>I've been riding hard in Ballistic and lost power. What's happening?</t>
  </si>
  <si>
    <t>The motor is derating on temperature, and Ballistic also cuts out above 50 degrees battery temp. Park for 15 to 20 minutes to cool down.</t>
  </si>
  <si>
    <t>Ride Modes - Ballistic (p.34); System Notifications (p.58); Troubleshooting (p.110)</t>
  </si>
  <si>
    <t>Planning a track day. Anything I should know?</t>
  </si>
  <si>
    <t>Racing and competitive events void the warranty. Ballistic also needs 30 percent charge and a cool battery to stay available.</t>
  </si>
  <si>
    <t>Warranty Policy (p.136); Ride Modes - Ballistic (p.34)</t>
  </si>
  <si>
    <t>How does tyre pressure affect more than just grip?</t>
  </si>
  <si>
    <t>It changes your range, your headlight aim and your steering feel. Low pressure is a common cause of the bar pulling to one side.</t>
  </si>
  <si>
    <t>Motorcycle Range (p.37); Troubleshooting (p.112); Tyre pressure (p.97)</t>
  </si>
  <si>
    <t>I'm fitting panniers for a tour. Any conflicts?</t>
  </si>
  <si>
    <t>Keep everything clear of the radar detection zone at the tailstay. Also add rear preload for the extra weight.</t>
  </si>
  <si>
    <t>Radar - Do's and Don'ts (p.56); Rear Shock Adjustment Guide (p.106)</t>
  </si>
  <si>
    <t>Riding two-up in the rain. How should I set the bike up?</t>
  </si>
  <si>
    <t>Traction control on T3 Rain, and a lower regen level for smoother deceleration. Add rear preload for the combined weight.</t>
  </si>
  <si>
    <t>Traction Control (p.73); Regen (p.71-72); Rear Shock Adjustment Guide (p.106)</t>
  </si>
  <si>
    <t>Why do my beacon lights not seem to work?</t>
  </si>
  <si>
    <t>The anti-collision beacons only activate at regen level 5 or above. They also need Violette AI, which is an optional upgrade.</t>
  </si>
  <si>
    <t>A.C.W.S. (p.80); Technical Data Sheet - Smart Tech (p.18)</t>
  </si>
  <si>
    <t>I'm parking at the airport for three weeks. What's the routine?</t>
  </si>
  <si>
    <t>Charge to 50 or 60 percent, enable Deep Sleep and don't leave the charger plugged in. Delta Watch will watch it while you're away.</t>
  </si>
  <si>
    <t>Settings-Deep Sleep (p.66-67); Storage Guidelines (p.108); Delta Watch (p.81)</t>
  </si>
  <si>
    <t>Radar warnings stopped after a muddy ride. Is it damaged?</t>
  </si>
  <si>
    <t>Most likely the sensor is blocked, which suspends all warnings until it's cleaned. If it persists after cleaning, have it recalibrated.</t>
  </si>
  <si>
    <t>Radar - Blockage Detection (p.55); Service and Maintenance (p.56)</t>
  </si>
  <si>
    <t>Can I rely on the radar to change lanes?</t>
  </si>
  <si>
    <t>No, it's an aid, not a substitute for looking. It won't help below 16 kilometres per hour or when you're leaned over past 20 degrees.</t>
  </si>
  <si>
    <t>Everything feels vague after a service. What should I check first?</t>
  </si>
  <si>
    <t>Tyre pressures, fork preload balance, and chain slack at 40 millimetres. Uneven preload and low pressure cause most handling complaints.</t>
  </si>
  <si>
    <t>Troubleshooting (p.112); Suspension (p.102-103); Chain (p.107)</t>
  </si>
  <si>
    <t>How do I get the absolute maximum range on a long ride?</t>
  </si>
  <si>
    <t>Glide mode, high regen, gentle throttle and correct tyre pressures. Plan your charging stops and stay tucked at speed.</t>
  </si>
  <si>
    <t>Motorcycle Range (p.37); Ride Modes (p.33); Regen (p.71)</t>
  </si>
  <si>
    <t>Can I do my own electrical repairs?</t>
  </si>
  <si>
    <t>No. All electrical inspection, repair and replacement must be done by an authorised Ultraviolette service centre.</t>
  </si>
  <si>
    <t>Electric Motorcycle Precautions (p.6); Warranty Policy (p.136)</t>
  </si>
  <si>
    <t>What safety habits does Ultraviolette expect from me?</t>
  </si>
  <si>
    <t>Full protective gear on every ride, never riding impaired, and briefing your pillion. Stick to the service schedule and use genuine parts.</t>
  </si>
  <si>
    <t>Safety and Owner's Responsibilities (p.5)</t>
  </si>
  <si>
    <t>Is there anything hot I should avoid touching after a ride?</t>
  </si>
  <si>
    <t>The brake discs and calipers get very hot and can burn you. The charger surface also gets hot during charging.</t>
  </si>
  <si>
    <t>Electric Motorcycle Precautions (p.6); Battery &amp; Charging (p.45)</t>
  </si>
  <si>
    <t>What does the four-level regen setting actually give me?</t>
  </si>
  <si>
    <t>Steps of zero, three, six and nine instead of all ten. It's a simpler version of the same range of braking force.</t>
  </si>
  <si>
    <t>Regenerative Braking - 04 Levels (p.72)</t>
  </si>
  <si>
    <t>Ultraviolette X-47 — Voice Assistant Question Bank</t>
  </si>
  <si>
    <t>Source: X-47 Owner's Manual, UV/ASL&amp;S/M/OM-X47_IN, Rev. No. 00, dated 20/11/2025 (144 pages).</t>
  </si>
  <si>
    <t>Answers are written to be spoken aloud: 2-3 short phrases, no symbols or tables. Page references point to the printed page numbers in the manual.</t>
  </si>
  <si>
    <t>Note: where a spec differs by variant, the answer names both Original and Recon figures. Radar, Violette AI and TPMS are optional on some variants.</t>
  </si>
  <si>
    <t>Questions</t>
  </si>
  <si>
    <t>First row</t>
  </si>
  <si>
    <t>What it covers</t>
  </si>
  <si>
    <t>Specs, weights, dimensions, tyres, identification numbers, variants.</t>
  </si>
  <si>
    <t>Glide, Combat, Ballistic, Hover, Park Assist and throttle behaviour.</t>
  </si>
  <si>
    <t>Claimed range, mode-by-mode range, and how to ride for more of it.</t>
  </si>
  <si>
    <t>Pack sizes, all four charging methods, charge limits and charging safety.</t>
  </si>
  <si>
    <t>Regen levels, how to adjust them, and when regen is unavailable.</t>
  </si>
  <si>
    <t>UV Hypersense radar alerts, limitations, lighting and mirrors.</t>
  </si>
  <si>
    <t>ABS, traction control, hill hold, display, sound and switchgear.</t>
  </si>
  <si>
    <t>Power on and off, steering lock, deep sleep and lockdown.</t>
  </si>
  <si>
    <t>Violette AI, Crash Alert, Delta Watch, A.C.W.S., TPMS and the mobile app.</t>
  </si>
  <si>
    <t>Cluster indicators, system notifications and what each one means.</t>
  </si>
  <si>
    <t>Pre-ride checks, service schedule, chain, brakes, suspension, fuses, washing.</t>
  </si>
  <si>
    <t>Long-term parking, transport preparation and long-trip checks.</t>
  </si>
  <si>
    <t>The manual's fault table plus flooding, accident and support procedures.</t>
  </si>
  <si>
    <t>Coverage periods, exclusions, what voids cover, and transfers.</t>
  </si>
  <si>
    <t>Scenario questions that need two or more sections to answer properly.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</si>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</sst>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color rgb="FF595959"/>
      <name val="Arial"/>
      <charset val="1"/>
    </font>
    <font>
      <b/>
      <sz val="15"/>
      <color rgb="FF2B1B47"/>
      <name val="Arial"/>
      <charset val="1"/>
    </font>
    <font>
      <i/>
      <sz val="10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B1B47"/>
        <bgColor rgb="FF333300"/>
      </patternFill>
    </fill>
    <fill>
      <patternFill patternType="solid">
        <fgColor rgb="FFF4F1F8"/>
        <bgColor rgb="FFFFFFFF"/>
      </patternFill>
    </fill>
    <fill>
      <patternFill patternType="solid">
        <fgColor rgb="FFE8E2F0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1F8"/>
      <rgbColor rgb="FFE8E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1B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D34" sqref="D34"/>
    </sheetView>
  </sheetViews>
  <sheetFormatPr baseColWidth="10" defaultColWidth="8.6640625" defaultRowHeight="15" x14ac:dyDescent="0.2"/>
  <cols>
    <col min="1" max="1" width="8" bestFit="1" customWidth="1"/>
    <col min="2" max="2" width="23.6640625" bestFit="1" customWidth="1"/>
    <col min="3" max="3" width="45.5" bestFit="1" customWidth="1"/>
    <col min="4" max="4" width="62" customWidth="1"/>
    <col min="5" max="5" width="40" customWidth="1"/>
    <col min="6" max="6" width="11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2">
      <c r="A2" s="2">
        <v>1</v>
      </c>
      <c r="B2" s="3" t="s">
        <v>6</v>
      </c>
      <c r="C2" s="4" t="s">
        <v>7</v>
      </c>
      <c r="D2" s="4" t="s">
        <v>8</v>
      </c>
      <c r="E2" s="5" t="s">
        <v>9</v>
      </c>
      <c r="F2" s="2">
        <f t="shared" ref="F2:F65" si="0">IF(D2="",0,LEN(TRIM(D2))-LEN(SUBSTITUTE(TRIM(D2)," ",""))+1)</f>
        <v>15</v>
      </c>
    </row>
    <row r="3" spans="1:6" x14ac:dyDescent="0.2">
      <c r="A3" s="6">
        <v>2</v>
      </c>
      <c r="B3" s="7" t="s">
        <v>6</v>
      </c>
      <c r="C3" s="8" t="s">
        <v>10</v>
      </c>
      <c r="D3" s="8" t="s">
        <v>11</v>
      </c>
      <c r="E3" s="9" t="s">
        <v>9</v>
      </c>
      <c r="F3" s="6">
        <f t="shared" si="0"/>
        <v>5</v>
      </c>
    </row>
    <row r="4" spans="1:6" ht="28" x14ac:dyDescent="0.2">
      <c r="A4" s="2">
        <v>3</v>
      </c>
      <c r="B4" s="3" t="s">
        <v>6</v>
      </c>
      <c r="C4" s="4" t="s">
        <v>12</v>
      </c>
      <c r="D4" s="4" t="s">
        <v>13</v>
      </c>
      <c r="E4" s="5" t="s">
        <v>9</v>
      </c>
      <c r="F4" s="2">
        <f t="shared" si="0"/>
        <v>17</v>
      </c>
    </row>
    <row r="5" spans="1:6" x14ac:dyDescent="0.2">
      <c r="A5" s="6">
        <v>4</v>
      </c>
      <c r="B5" s="7" t="s">
        <v>6</v>
      </c>
      <c r="C5" s="8" t="s">
        <v>14</v>
      </c>
      <c r="D5" s="8" t="s">
        <v>15</v>
      </c>
      <c r="E5" s="9" t="s">
        <v>9</v>
      </c>
      <c r="F5" s="6">
        <f t="shared" si="0"/>
        <v>2</v>
      </c>
    </row>
    <row r="6" spans="1:6" x14ac:dyDescent="0.2">
      <c r="A6" s="2">
        <v>5</v>
      </c>
      <c r="B6" s="3" t="s">
        <v>6</v>
      </c>
      <c r="C6" s="4" t="s">
        <v>16</v>
      </c>
      <c r="D6" s="4" t="s">
        <v>17</v>
      </c>
      <c r="E6" s="5" t="s">
        <v>9</v>
      </c>
      <c r="F6" s="2">
        <f t="shared" si="0"/>
        <v>8</v>
      </c>
    </row>
    <row r="7" spans="1:6" x14ac:dyDescent="0.2">
      <c r="A7" s="6">
        <v>6</v>
      </c>
      <c r="B7" s="7" t="s">
        <v>6</v>
      </c>
      <c r="C7" s="8" t="s">
        <v>18</v>
      </c>
      <c r="D7" s="8" t="s">
        <v>19</v>
      </c>
      <c r="E7" s="9" t="s">
        <v>20</v>
      </c>
      <c r="F7" s="6">
        <f t="shared" si="0"/>
        <v>14</v>
      </c>
    </row>
    <row r="8" spans="1:6" ht="28" x14ac:dyDescent="0.2">
      <c r="A8" s="2">
        <v>7</v>
      </c>
      <c r="B8" s="3" t="s">
        <v>6</v>
      </c>
      <c r="C8" s="4" t="s">
        <v>21</v>
      </c>
      <c r="D8" s="4" t="s">
        <v>22</v>
      </c>
      <c r="E8" s="5" t="s">
        <v>23</v>
      </c>
      <c r="F8" s="2">
        <f t="shared" si="0"/>
        <v>15</v>
      </c>
    </row>
    <row r="9" spans="1:6" x14ac:dyDescent="0.2">
      <c r="A9" s="6">
        <v>8</v>
      </c>
      <c r="B9" s="7" t="s">
        <v>6</v>
      </c>
      <c r="C9" s="8" t="s">
        <v>24</v>
      </c>
      <c r="D9" s="8" t="s">
        <v>25</v>
      </c>
      <c r="E9" s="9" t="s">
        <v>26</v>
      </c>
      <c r="F9" s="6">
        <f t="shared" si="0"/>
        <v>7</v>
      </c>
    </row>
    <row r="10" spans="1:6" ht="28" x14ac:dyDescent="0.2">
      <c r="A10" s="2">
        <v>9</v>
      </c>
      <c r="B10" s="3" t="s">
        <v>6</v>
      </c>
      <c r="C10" s="4" t="s">
        <v>27</v>
      </c>
      <c r="D10" s="4" t="s">
        <v>28</v>
      </c>
      <c r="E10" s="5" t="s">
        <v>26</v>
      </c>
      <c r="F10" s="2">
        <f t="shared" si="0"/>
        <v>15</v>
      </c>
    </row>
    <row r="11" spans="1:6" ht="28" x14ac:dyDescent="0.2">
      <c r="A11" s="6">
        <v>10</v>
      </c>
      <c r="B11" s="7" t="s">
        <v>6</v>
      </c>
      <c r="C11" s="8" t="s">
        <v>29</v>
      </c>
      <c r="D11" s="8" t="s">
        <v>30</v>
      </c>
      <c r="E11" s="9" t="s">
        <v>26</v>
      </c>
      <c r="F11" s="6">
        <f t="shared" si="0"/>
        <v>16</v>
      </c>
    </row>
    <row r="12" spans="1:6" x14ac:dyDescent="0.2">
      <c r="A12" s="2">
        <v>11</v>
      </c>
      <c r="B12" s="3" t="s">
        <v>6</v>
      </c>
      <c r="C12" s="4" t="s">
        <v>31</v>
      </c>
      <c r="D12" s="4" t="s">
        <v>32</v>
      </c>
      <c r="E12" s="5" t="s">
        <v>26</v>
      </c>
      <c r="F12" s="2">
        <f t="shared" si="0"/>
        <v>9</v>
      </c>
    </row>
    <row r="13" spans="1:6" x14ac:dyDescent="0.2">
      <c r="A13" s="6">
        <v>12</v>
      </c>
      <c r="B13" s="7" t="s">
        <v>6</v>
      </c>
      <c r="C13" s="8" t="s">
        <v>33</v>
      </c>
      <c r="D13" s="8" t="s">
        <v>34</v>
      </c>
      <c r="E13" s="9" t="s">
        <v>35</v>
      </c>
      <c r="F13" s="6">
        <f t="shared" si="0"/>
        <v>9</v>
      </c>
    </row>
    <row r="14" spans="1:6" x14ac:dyDescent="0.2">
      <c r="A14" s="2">
        <v>13</v>
      </c>
      <c r="B14" s="3" t="s">
        <v>6</v>
      </c>
      <c r="C14" s="4" t="s">
        <v>36</v>
      </c>
      <c r="D14" s="4" t="s">
        <v>37</v>
      </c>
      <c r="E14" s="5" t="s">
        <v>23</v>
      </c>
      <c r="F14" s="2">
        <f t="shared" si="0"/>
        <v>8</v>
      </c>
    </row>
    <row r="15" spans="1:6" ht="28" x14ac:dyDescent="0.2">
      <c r="A15" s="6">
        <v>14</v>
      </c>
      <c r="B15" s="7" t="s">
        <v>6</v>
      </c>
      <c r="C15" s="8" t="s">
        <v>38</v>
      </c>
      <c r="D15" s="8" t="s">
        <v>39</v>
      </c>
      <c r="E15" s="9" t="s">
        <v>23</v>
      </c>
      <c r="F15" s="6">
        <f t="shared" si="0"/>
        <v>14</v>
      </c>
    </row>
    <row r="16" spans="1:6" ht="28" x14ac:dyDescent="0.2">
      <c r="A16" s="2">
        <v>15</v>
      </c>
      <c r="B16" s="3" t="s">
        <v>6</v>
      </c>
      <c r="C16" s="4" t="s">
        <v>40</v>
      </c>
      <c r="D16" s="4" t="s">
        <v>41</v>
      </c>
      <c r="E16" s="5" t="s">
        <v>23</v>
      </c>
      <c r="F16" s="2">
        <f t="shared" si="0"/>
        <v>20</v>
      </c>
    </row>
    <row r="17" spans="1:6" ht="28" x14ac:dyDescent="0.2">
      <c r="A17" s="6">
        <v>16</v>
      </c>
      <c r="B17" s="7" t="s">
        <v>6</v>
      </c>
      <c r="C17" s="8" t="s">
        <v>42</v>
      </c>
      <c r="D17" s="8" t="s">
        <v>43</v>
      </c>
      <c r="E17" s="9" t="s">
        <v>44</v>
      </c>
      <c r="F17" s="6">
        <f t="shared" si="0"/>
        <v>16</v>
      </c>
    </row>
    <row r="18" spans="1:6" ht="28" x14ac:dyDescent="0.2">
      <c r="A18" s="2">
        <v>17</v>
      </c>
      <c r="B18" s="3" t="s">
        <v>6</v>
      </c>
      <c r="C18" s="4" t="s">
        <v>45</v>
      </c>
      <c r="D18" s="4" t="s">
        <v>46</v>
      </c>
      <c r="E18" s="5" t="s">
        <v>44</v>
      </c>
      <c r="F18" s="2">
        <f t="shared" si="0"/>
        <v>19</v>
      </c>
    </row>
    <row r="19" spans="1:6" x14ac:dyDescent="0.2">
      <c r="A19" s="6">
        <v>18</v>
      </c>
      <c r="B19" s="7" t="s">
        <v>6</v>
      </c>
      <c r="C19" s="8" t="s">
        <v>47</v>
      </c>
      <c r="D19" s="8" t="s">
        <v>48</v>
      </c>
      <c r="E19" s="9" t="s">
        <v>49</v>
      </c>
      <c r="F19" s="6">
        <f t="shared" si="0"/>
        <v>12</v>
      </c>
    </row>
    <row r="20" spans="1:6" ht="28" x14ac:dyDescent="0.2">
      <c r="A20" s="2">
        <v>19</v>
      </c>
      <c r="B20" s="3" t="s">
        <v>6</v>
      </c>
      <c r="C20" s="4" t="s">
        <v>50</v>
      </c>
      <c r="D20" s="4" t="s">
        <v>51</v>
      </c>
      <c r="E20" s="5" t="s">
        <v>52</v>
      </c>
      <c r="F20" s="2">
        <f t="shared" si="0"/>
        <v>18</v>
      </c>
    </row>
    <row r="21" spans="1:6" x14ac:dyDescent="0.2">
      <c r="A21" s="6">
        <v>20</v>
      </c>
      <c r="B21" s="7" t="s">
        <v>6</v>
      </c>
      <c r="C21" s="8" t="s">
        <v>53</v>
      </c>
      <c r="D21" s="8" t="s">
        <v>54</v>
      </c>
      <c r="E21" s="9" t="s">
        <v>55</v>
      </c>
      <c r="F21" s="6">
        <f t="shared" si="0"/>
        <v>10</v>
      </c>
    </row>
    <row r="22" spans="1:6" ht="28" x14ac:dyDescent="0.2">
      <c r="A22" s="2">
        <v>21</v>
      </c>
      <c r="B22" s="3" t="s">
        <v>56</v>
      </c>
      <c r="C22" s="4" t="s">
        <v>57</v>
      </c>
      <c r="D22" s="4" t="s">
        <v>58</v>
      </c>
      <c r="E22" s="5" t="s">
        <v>59</v>
      </c>
      <c r="F22" s="2">
        <f t="shared" si="0"/>
        <v>13</v>
      </c>
    </row>
    <row r="23" spans="1:6" ht="28" x14ac:dyDescent="0.2">
      <c r="A23" s="6">
        <v>22</v>
      </c>
      <c r="B23" s="7" t="s">
        <v>56</v>
      </c>
      <c r="C23" s="8" t="s">
        <v>60</v>
      </c>
      <c r="D23" s="8" t="s">
        <v>61</v>
      </c>
      <c r="E23" s="9" t="s">
        <v>62</v>
      </c>
      <c r="F23" s="6">
        <f t="shared" si="0"/>
        <v>15</v>
      </c>
    </row>
    <row r="24" spans="1:6" ht="28" x14ac:dyDescent="0.2">
      <c r="A24" s="2">
        <v>23</v>
      </c>
      <c r="B24" s="3" t="s">
        <v>56</v>
      </c>
      <c r="C24" s="4" t="s">
        <v>63</v>
      </c>
      <c r="D24" s="4" t="s">
        <v>64</v>
      </c>
      <c r="E24" s="5" t="s">
        <v>65</v>
      </c>
      <c r="F24" s="2">
        <f t="shared" si="0"/>
        <v>17</v>
      </c>
    </row>
    <row r="25" spans="1:6" ht="28" x14ac:dyDescent="0.2">
      <c r="A25" s="6">
        <v>24</v>
      </c>
      <c r="B25" s="7" t="s">
        <v>56</v>
      </c>
      <c r="C25" s="8" t="s">
        <v>66</v>
      </c>
      <c r="D25" s="8" t="s">
        <v>67</v>
      </c>
      <c r="E25" s="9" t="s">
        <v>68</v>
      </c>
      <c r="F25" s="6">
        <f t="shared" si="0"/>
        <v>16</v>
      </c>
    </row>
    <row r="26" spans="1:6" ht="28" x14ac:dyDescent="0.2">
      <c r="A26" s="2">
        <v>25</v>
      </c>
      <c r="B26" s="3" t="s">
        <v>56</v>
      </c>
      <c r="C26" s="4" t="s">
        <v>69</v>
      </c>
      <c r="D26" s="4" t="s">
        <v>70</v>
      </c>
      <c r="E26" s="5" t="s">
        <v>71</v>
      </c>
      <c r="F26" s="2">
        <f t="shared" si="0"/>
        <v>23</v>
      </c>
    </row>
    <row r="27" spans="1:6" ht="28" x14ac:dyDescent="0.2">
      <c r="A27" s="6">
        <v>26</v>
      </c>
      <c r="B27" s="7" t="s">
        <v>56</v>
      </c>
      <c r="C27" s="8" t="s">
        <v>72</v>
      </c>
      <c r="D27" s="8" t="s">
        <v>73</v>
      </c>
      <c r="E27" s="9" t="s">
        <v>74</v>
      </c>
      <c r="F27" s="6">
        <f t="shared" si="0"/>
        <v>23</v>
      </c>
    </row>
    <row r="28" spans="1:6" ht="28" x14ac:dyDescent="0.2">
      <c r="A28" s="2">
        <v>27</v>
      </c>
      <c r="B28" s="3" t="s">
        <v>56</v>
      </c>
      <c r="C28" s="4" t="s">
        <v>75</v>
      </c>
      <c r="D28" s="4" t="s">
        <v>76</v>
      </c>
      <c r="E28" s="5" t="s">
        <v>74</v>
      </c>
      <c r="F28" s="2">
        <f t="shared" si="0"/>
        <v>14</v>
      </c>
    </row>
    <row r="29" spans="1:6" ht="28" x14ac:dyDescent="0.2">
      <c r="A29" s="6">
        <v>28</v>
      </c>
      <c r="B29" s="7" t="s">
        <v>56</v>
      </c>
      <c r="C29" s="8" t="s">
        <v>77</v>
      </c>
      <c r="D29" s="8" t="s">
        <v>78</v>
      </c>
      <c r="E29" s="9" t="s">
        <v>74</v>
      </c>
      <c r="F29" s="6">
        <f t="shared" si="0"/>
        <v>17</v>
      </c>
    </row>
    <row r="30" spans="1:6" ht="28" x14ac:dyDescent="0.2">
      <c r="A30" s="2">
        <v>29</v>
      </c>
      <c r="B30" s="3" t="s">
        <v>56</v>
      </c>
      <c r="C30" s="4" t="s">
        <v>79</v>
      </c>
      <c r="D30" s="4" t="s">
        <v>80</v>
      </c>
      <c r="E30" s="5" t="s">
        <v>81</v>
      </c>
      <c r="F30" s="2">
        <f t="shared" si="0"/>
        <v>16</v>
      </c>
    </row>
    <row r="31" spans="1:6" ht="28" x14ac:dyDescent="0.2">
      <c r="A31" s="6">
        <v>30</v>
      </c>
      <c r="B31" s="7" t="s">
        <v>56</v>
      </c>
      <c r="C31" s="8" t="s">
        <v>82</v>
      </c>
      <c r="D31" s="8" t="s">
        <v>83</v>
      </c>
      <c r="E31" s="9" t="s">
        <v>84</v>
      </c>
      <c r="F31" s="6">
        <f t="shared" si="0"/>
        <v>21</v>
      </c>
    </row>
    <row r="32" spans="1:6" x14ac:dyDescent="0.2">
      <c r="A32" s="2">
        <v>31</v>
      </c>
      <c r="B32" s="3" t="s">
        <v>56</v>
      </c>
      <c r="C32" s="4" t="s">
        <v>85</v>
      </c>
      <c r="D32" s="4" t="s">
        <v>86</v>
      </c>
      <c r="E32" s="5" t="s">
        <v>84</v>
      </c>
      <c r="F32" s="2">
        <f t="shared" si="0"/>
        <v>9</v>
      </c>
    </row>
    <row r="33" spans="1:6" ht="28" x14ac:dyDescent="0.2">
      <c r="A33" s="6">
        <v>32</v>
      </c>
      <c r="B33" s="7" t="s">
        <v>56</v>
      </c>
      <c r="C33" s="8" t="s">
        <v>87</v>
      </c>
      <c r="D33" s="8" t="s">
        <v>88</v>
      </c>
      <c r="E33" s="9" t="s">
        <v>84</v>
      </c>
      <c r="F33" s="6">
        <f t="shared" si="0"/>
        <v>16</v>
      </c>
    </row>
    <row r="34" spans="1:6" ht="28" x14ac:dyDescent="0.2">
      <c r="A34" s="2">
        <v>33</v>
      </c>
      <c r="B34" s="3" t="s">
        <v>56</v>
      </c>
      <c r="C34" s="4" t="s">
        <v>89</v>
      </c>
      <c r="D34" s="4" t="s">
        <v>90</v>
      </c>
      <c r="E34" s="5" t="s">
        <v>91</v>
      </c>
      <c r="F34" s="2">
        <f t="shared" si="0"/>
        <v>12</v>
      </c>
    </row>
    <row r="35" spans="1:6" ht="28" x14ac:dyDescent="0.2">
      <c r="A35" s="6">
        <v>34</v>
      </c>
      <c r="B35" s="7" t="s">
        <v>56</v>
      </c>
      <c r="C35" s="8" t="s">
        <v>92</v>
      </c>
      <c r="D35" s="8" t="s">
        <v>93</v>
      </c>
      <c r="E35" s="9" t="s">
        <v>91</v>
      </c>
      <c r="F35" s="6">
        <f t="shared" si="0"/>
        <v>14</v>
      </c>
    </row>
    <row r="36" spans="1:6" x14ac:dyDescent="0.2">
      <c r="A36" s="2">
        <v>35</v>
      </c>
      <c r="B36" s="3" t="s">
        <v>94</v>
      </c>
      <c r="C36" s="4" t="s">
        <v>95</v>
      </c>
      <c r="D36" s="4" t="s">
        <v>96</v>
      </c>
      <c r="E36" s="5" t="s">
        <v>97</v>
      </c>
      <c r="F36" s="2">
        <f t="shared" si="0"/>
        <v>9</v>
      </c>
    </row>
    <row r="37" spans="1:6" ht="28" x14ac:dyDescent="0.2">
      <c r="A37" s="6">
        <v>36</v>
      </c>
      <c r="B37" s="7" t="s">
        <v>94</v>
      </c>
      <c r="C37" s="8" t="s">
        <v>98</v>
      </c>
      <c r="D37" s="8" t="s">
        <v>99</v>
      </c>
      <c r="E37" s="9" t="s">
        <v>97</v>
      </c>
      <c r="F37" s="6">
        <f t="shared" si="0"/>
        <v>18</v>
      </c>
    </row>
    <row r="38" spans="1:6" ht="28" x14ac:dyDescent="0.2">
      <c r="A38" s="2">
        <v>37</v>
      </c>
      <c r="B38" s="3" t="s">
        <v>94</v>
      </c>
      <c r="C38" s="4" t="s">
        <v>100</v>
      </c>
      <c r="D38" s="4" t="s">
        <v>101</v>
      </c>
      <c r="E38" s="5" t="s">
        <v>102</v>
      </c>
      <c r="F38" s="2">
        <f t="shared" si="0"/>
        <v>14</v>
      </c>
    </row>
    <row r="39" spans="1:6" ht="28" x14ac:dyDescent="0.2">
      <c r="A39" s="6">
        <v>38</v>
      </c>
      <c r="B39" s="7" t="s">
        <v>94</v>
      </c>
      <c r="C39" s="8" t="s">
        <v>103</v>
      </c>
      <c r="D39" s="8" t="s">
        <v>104</v>
      </c>
      <c r="E39" s="9" t="s">
        <v>102</v>
      </c>
      <c r="F39" s="6">
        <f t="shared" si="0"/>
        <v>17</v>
      </c>
    </row>
    <row r="40" spans="1:6" x14ac:dyDescent="0.2">
      <c r="A40" s="2">
        <v>39</v>
      </c>
      <c r="B40" s="3" t="s">
        <v>94</v>
      </c>
      <c r="C40" s="4" t="s">
        <v>105</v>
      </c>
      <c r="D40" s="4" t="s">
        <v>106</v>
      </c>
      <c r="E40" s="5" t="s">
        <v>102</v>
      </c>
      <c r="F40" s="2">
        <f t="shared" si="0"/>
        <v>7</v>
      </c>
    </row>
    <row r="41" spans="1:6" ht="28" x14ac:dyDescent="0.2">
      <c r="A41" s="6">
        <v>40</v>
      </c>
      <c r="B41" s="7" t="s">
        <v>94</v>
      </c>
      <c r="C41" s="8" t="s">
        <v>107</v>
      </c>
      <c r="D41" s="8" t="s">
        <v>108</v>
      </c>
      <c r="E41" s="9" t="s">
        <v>109</v>
      </c>
      <c r="F41" s="6">
        <f t="shared" si="0"/>
        <v>17</v>
      </c>
    </row>
    <row r="42" spans="1:6" ht="28" x14ac:dyDescent="0.2">
      <c r="A42" s="2">
        <v>41</v>
      </c>
      <c r="B42" s="3" t="s">
        <v>94</v>
      </c>
      <c r="C42" s="4" t="s">
        <v>110</v>
      </c>
      <c r="D42" s="4" t="s">
        <v>111</v>
      </c>
      <c r="E42" s="5" t="s">
        <v>97</v>
      </c>
      <c r="F42" s="2">
        <f t="shared" si="0"/>
        <v>16</v>
      </c>
    </row>
    <row r="43" spans="1:6" ht="28" x14ac:dyDescent="0.2">
      <c r="A43" s="6">
        <v>42</v>
      </c>
      <c r="B43" s="7" t="s">
        <v>112</v>
      </c>
      <c r="C43" s="8" t="s">
        <v>113</v>
      </c>
      <c r="D43" s="8" t="s">
        <v>114</v>
      </c>
      <c r="E43" s="9" t="s">
        <v>115</v>
      </c>
      <c r="F43" s="6">
        <f t="shared" si="0"/>
        <v>14</v>
      </c>
    </row>
    <row r="44" spans="1:6" x14ac:dyDescent="0.2">
      <c r="A44" s="2">
        <v>43</v>
      </c>
      <c r="B44" s="3" t="s">
        <v>112</v>
      </c>
      <c r="C44" s="4" t="s">
        <v>116</v>
      </c>
      <c r="D44" s="4" t="s">
        <v>117</v>
      </c>
      <c r="E44" s="5" t="s">
        <v>118</v>
      </c>
      <c r="F44" s="2">
        <f t="shared" si="0"/>
        <v>15</v>
      </c>
    </row>
    <row r="45" spans="1:6" ht="28" x14ac:dyDescent="0.2">
      <c r="A45" s="6">
        <v>44</v>
      </c>
      <c r="B45" s="7" t="s">
        <v>112</v>
      </c>
      <c r="C45" s="8" t="s">
        <v>119</v>
      </c>
      <c r="D45" s="8" t="s">
        <v>120</v>
      </c>
      <c r="E45" s="9" t="s">
        <v>121</v>
      </c>
      <c r="F45" s="6">
        <f t="shared" si="0"/>
        <v>22</v>
      </c>
    </row>
    <row r="46" spans="1:6" ht="28" x14ac:dyDescent="0.2">
      <c r="A46" s="2">
        <v>45</v>
      </c>
      <c r="B46" s="3" t="s">
        <v>112</v>
      </c>
      <c r="C46" s="4" t="s">
        <v>122</v>
      </c>
      <c r="D46" s="4" t="s">
        <v>123</v>
      </c>
      <c r="E46" s="5" t="s">
        <v>124</v>
      </c>
      <c r="F46" s="2">
        <f t="shared" si="0"/>
        <v>14</v>
      </c>
    </row>
    <row r="47" spans="1:6" ht="28" x14ac:dyDescent="0.2">
      <c r="A47" s="6">
        <v>46</v>
      </c>
      <c r="B47" s="7" t="s">
        <v>112</v>
      </c>
      <c r="C47" s="8" t="s">
        <v>125</v>
      </c>
      <c r="D47" s="8" t="s">
        <v>126</v>
      </c>
      <c r="E47" s="9" t="s">
        <v>118</v>
      </c>
      <c r="F47" s="6">
        <f t="shared" si="0"/>
        <v>17</v>
      </c>
    </row>
    <row r="48" spans="1:6" ht="28" x14ac:dyDescent="0.2">
      <c r="A48" s="2">
        <v>47</v>
      </c>
      <c r="B48" s="3" t="s">
        <v>112</v>
      </c>
      <c r="C48" s="4" t="s">
        <v>127</v>
      </c>
      <c r="D48" s="4" t="s">
        <v>128</v>
      </c>
      <c r="E48" s="5" t="s">
        <v>118</v>
      </c>
      <c r="F48" s="2">
        <f t="shared" si="0"/>
        <v>20</v>
      </c>
    </row>
    <row r="49" spans="1:6" ht="26" x14ac:dyDescent="0.2">
      <c r="A49" s="6">
        <v>48</v>
      </c>
      <c r="B49" s="7" t="s">
        <v>112</v>
      </c>
      <c r="C49" s="8" t="s">
        <v>129</v>
      </c>
      <c r="D49" s="8" t="s">
        <v>130</v>
      </c>
      <c r="E49" s="9" t="s">
        <v>131</v>
      </c>
      <c r="F49" s="6">
        <f t="shared" si="0"/>
        <v>9</v>
      </c>
    </row>
    <row r="50" spans="1:6" ht="28" x14ac:dyDescent="0.2">
      <c r="A50" s="2">
        <v>49</v>
      </c>
      <c r="B50" s="3" t="s">
        <v>112</v>
      </c>
      <c r="C50" s="4" t="s">
        <v>132</v>
      </c>
      <c r="D50" s="4" t="s">
        <v>133</v>
      </c>
      <c r="E50" s="5" t="s">
        <v>134</v>
      </c>
      <c r="F50" s="2">
        <f t="shared" si="0"/>
        <v>22</v>
      </c>
    </row>
    <row r="51" spans="1:6" ht="28" x14ac:dyDescent="0.2">
      <c r="A51" s="6">
        <v>50</v>
      </c>
      <c r="B51" s="7" t="s">
        <v>112</v>
      </c>
      <c r="C51" s="8" t="s">
        <v>135</v>
      </c>
      <c r="D51" s="8" t="s">
        <v>136</v>
      </c>
      <c r="E51" s="9" t="s">
        <v>137</v>
      </c>
      <c r="F51" s="6">
        <f t="shared" si="0"/>
        <v>18</v>
      </c>
    </row>
    <row r="52" spans="1:6" ht="28" x14ac:dyDescent="0.2">
      <c r="A52" s="2">
        <v>51</v>
      </c>
      <c r="B52" s="3" t="s">
        <v>112</v>
      </c>
      <c r="C52" s="4" t="s">
        <v>138</v>
      </c>
      <c r="D52" s="4" t="s">
        <v>139</v>
      </c>
      <c r="E52" s="5" t="s">
        <v>140</v>
      </c>
      <c r="F52" s="2">
        <f t="shared" si="0"/>
        <v>19</v>
      </c>
    </row>
    <row r="53" spans="1:6" x14ac:dyDescent="0.2">
      <c r="A53" s="6">
        <v>52</v>
      </c>
      <c r="B53" s="7" t="s">
        <v>112</v>
      </c>
      <c r="C53" s="8" t="s">
        <v>141</v>
      </c>
      <c r="D53" s="8" t="s">
        <v>142</v>
      </c>
      <c r="E53" s="9" t="s">
        <v>143</v>
      </c>
      <c r="F53" s="6">
        <f t="shared" si="0"/>
        <v>10</v>
      </c>
    </row>
    <row r="54" spans="1:6" ht="28" x14ac:dyDescent="0.2">
      <c r="A54" s="2">
        <v>53</v>
      </c>
      <c r="B54" s="3" t="s">
        <v>112</v>
      </c>
      <c r="C54" s="4" t="s">
        <v>144</v>
      </c>
      <c r="D54" s="4" t="s">
        <v>145</v>
      </c>
      <c r="E54" s="5" t="s">
        <v>146</v>
      </c>
      <c r="F54" s="2">
        <f t="shared" si="0"/>
        <v>15</v>
      </c>
    </row>
    <row r="55" spans="1:6" x14ac:dyDescent="0.2">
      <c r="A55" s="6">
        <v>54</v>
      </c>
      <c r="B55" s="7" t="s">
        <v>112</v>
      </c>
      <c r="C55" s="8" t="s">
        <v>147</v>
      </c>
      <c r="D55" s="8" t="s">
        <v>148</v>
      </c>
      <c r="E55" s="9" t="s">
        <v>140</v>
      </c>
      <c r="F55" s="6">
        <f t="shared" si="0"/>
        <v>13</v>
      </c>
    </row>
    <row r="56" spans="1:6" ht="28" x14ac:dyDescent="0.2">
      <c r="A56" s="2">
        <v>55</v>
      </c>
      <c r="B56" s="3" t="s">
        <v>112</v>
      </c>
      <c r="C56" s="4" t="s">
        <v>149</v>
      </c>
      <c r="D56" s="4" t="s">
        <v>150</v>
      </c>
      <c r="E56" s="5" t="s">
        <v>146</v>
      </c>
      <c r="F56" s="2">
        <f t="shared" si="0"/>
        <v>17</v>
      </c>
    </row>
    <row r="57" spans="1:6" ht="28" x14ac:dyDescent="0.2">
      <c r="A57" s="6">
        <v>56</v>
      </c>
      <c r="B57" s="7" t="s">
        <v>112</v>
      </c>
      <c r="C57" s="8" t="s">
        <v>151</v>
      </c>
      <c r="D57" s="8" t="s">
        <v>152</v>
      </c>
      <c r="E57" s="9" t="s">
        <v>153</v>
      </c>
      <c r="F57" s="6">
        <f t="shared" si="0"/>
        <v>19</v>
      </c>
    </row>
    <row r="58" spans="1:6" ht="28" x14ac:dyDescent="0.2">
      <c r="A58" s="2">
        <v>57</v>
      </c>
      <c r="B58" s="3" t="s">
        <v>112</v>
      </c>
      <c r="C58" s="4" t="s">
        <v>154</v>
      </c>
      <c r="D58" s="4" t="s">
        <v>155</v>
      </c>
      <c r="E58" s="5" t="s">
        <v>156</v>
      </c>
      <c r="F58" s="2">
        <f t="shared" si="0"/>
        <v>19</v>
      </c>
    </row>
    <row r="59" spans="1:6" ht="28" x14ac:dyDescent="0.2">
      <c r="A59" s="6">
        <v>58</v>
      </c>
      <c r="B59" s="7" t="s">
        <v>112</v>
      </c>
      <c r="C59" s="8" t="s">
        <v>157</v>
      </c>
      <c r="D59" s="8" t="s">
        <v>158</v>
      </c>
      <c r="E59" s="9" t="s">
        <v>159</v>
      </c>
      <c r="F59" s="6">
        <f t="shared" si="0"/>
        <v>18</v>
      </c>
    </row>
    <row r="60" spans="1:6" ht="28" x14ac:dyDescent="0.2">
      <c r="A60" s="2">
        <v>59</v>
      </c>
      <c r="B60" s="3" t="s">
        <v>112</v>
      </c>
      <c r="C60" s="4" t="s">
        <v>160</v>
      </c>
      <c r="D60" s="4" t="s">
        <v>161</v>
      </c>
      <c r="E60" s="5" t="s">
        <v>162</v>
      </c>
      <c r="F60" s="2">
        <f t="shared" si="0"/>
        <v>20</v>
      </c>
    </row>
    <row r="61" spans="1:6" x14ac:dyDescent="0.2">
      <c r="A61" s="6">
        <v>60</v>
      </c>
      <c r="B61" s="7" t="s">
        <v>112</v>
      </c>
      <c r="C61" s="8" t="s">
        <v>163</v>
      </c>
      <c r="D61" s="8" t="s">
        <v>164</v>
      </c>
      <c r="E61" s="9" t="s">
        <v>165</v>
      </c>
      <c r="F61" s="6">
        <f t="shared" si="0"/>
        <v>12</v>
      </c>
    </row>
    <row r="62" spans="1:6" ht="28" x14ac:dyDescent="0.2">
      <c r="A62" s="2">
        <v>61</v>
      </c>
      <c r="B62" s="3" t="s">
        <v>112</v>
      </c>
      <c r="C62" s="4" t="s">
        <v>166</v>
      </c>
      <c r="D62" s="4" t="s">
        <v>167</v>
      </c>
      <c r="E62" s="5" t="s">
        <v>168</v>
      </c>
      <c r="F62" s="2">
        <f t="shared" si="0"/>
        <v>21</v>
      </c>
    </row>
    <row r="63" spans="1:6" ht="28" x14ac:dyDescent="0.2">
      <c r="A63" s="6">
        <v>62</v>
      </c>
      <c r="B63" s="7" t="s">
        <v>112</v>
      </c>
      <c r="C63" s="8" t="s">
        <v>169</v>
      </c>
      <c r="D63" s="8" t="s">
        <v>170</v>
      </c>
      <c r="E63" s="9" t="s">
        <v>171</v>
      </c>
      <c r="F63" s="6">
        <f t="shared" si="0"/>
        <v>14</v>
      </c>
    </row>
    <row r="64" spans="1:6" ht="42" x14ac:dyDescent="0.2">
      <c r="A64" s="2">
        <v>63</v>
      </c>
      <c r="B64" s="3" t="s">
        <v>112</v>
      </c>
      <c r="C64" s="4" t="s">
        <v>172</v>
      </c>
      <c r="D64" s="4" t="s">
        <v>173</v>
      </c>
      <c r="E64" s="5" t="s">
        <v>115</v>
      </c>
      <c r="F64" s="2">
        <f t="shared" si="0"/>
        <v>19</v>
      </c>
    </row>
    <row r="65" spans="1:6" ht="28" x14ac:dyDescent="0.2">
      <c r="A65" s="6">
        <v>64</v>
      </c>
      <c r="B65" s="7" t="s">
        <v>174</v>
      </c>
      <c r="C65" s="8" t="s">
        <v>175</v>
      </c>
      <c r="D65" s="8" t="s">
        <v>176</v>
      </c>
      <c r="E65" s="9" t="s">
        <v>177</v>
      </c>
      <c r="F65" s="6">
        <f t="shared" si="0"/>
        <v>21</v>
      </c>
    </row>
    <row r="66" spans="1:6" ht="28" x14ac:dyDescent="0.2">
      <c r="A66" s="2">
        <v>65</v>
      </c>
      <c r="B66" s="3" t="s">
        <v>174</v>
      </c>
      <c r="C66" s="4" t="s">
        <v>178</v>
      </c>
      <c r="D66" s="4" t="s">
        <v>179</v>
      </c>
      <c r="E66" s="5" t="s">
        <v>180</v>
      </c>
      <c r="F66" s="2">
        <f t="shared" ref="F66:F129" si="1">IF(D66="",0,LEN(TRIM(D66))-LEN(SUBSTITUTE(TRIM(D66)," ",""))+1)</f>
        <v>18</v>
      </c>
    </row>
    <row r="67" spans="1:6" ht="28" x14ac:dyDescent="0.2">
      <c r="A67" s="6">
        <v>66</v>
      </c>
      <c r="B67" s="7" t="s">
        <v>174</v>
      </c>
      <c r="C67" s="8" t="s">
        <v>181</v>
      </c>
      <c r="D67" s="8" t="s">
        <v>182</v>
      </c>
      <c r="E67" s="9" t="s">
        <v>183</v>
      </c>
      <c r="F67" s="6">
        <f t="shared" si="1"/>
        <v>17</v>
      </c>
    </row>
    <row r="68" spans="1:6" ht="28" x14ac:dyDescent="0.2">
      <c r="A68" s="2">
        <v>67</v>
      </c>
      <c r="B68" s="3" t="s">
        <v>174</v>
      </c>
      <c r="C68" s="4" t="s">
        <v>184</v>
      </c>
      <c r="D68" s="4" t="s">
        <v>185</v>
      </c>
      <c r="E68" s="5" t="s">
        <v>186</v>
      </c>
      <c r="F68" s="2">
        <f t="shared" si="1"/>
        <v>16</v>
      </c>
    </row>
    <row r="69" spans="1:6" ht="28" x14ac:dyDescent="0.2">
      <c r="A69" s="6">
        <v>68</v>
      </c>
      <c r="B69" s="7" t="s">
        <v>174</v>
      </c>
      <c r="C69" s="8" t="s">
        <v>187</v>
      </c>
      <c r="D69" s="8" t="s">
        <v>188</v>
      </c>
      <c r="E69" s="9" t="s">
        <v>189</v>
      </c>
      <c r="F69" s="6">
        <f t="shared" si="1"/>
        <v>13</v>
      </c>
    </row>
    <row r="70" spans="1:6" ht="26" x14ac:dyDescent="0.2">
      <c r="A70" s="2">
        <v>69</v>
      </c>
      <c r="B70" s="3" t="s">
        <v>174</v>
      </c>
      <c r="C70" s="4" t="s">
        <v>190</v>
      </c>
      <c r="D70" s="4" t="s">
        <v>191</v>
      </c>
      <c r="E70" s="5" t="s">
        <v>192</v>
      </c>
      <c r="F70" s="2">
        <f t="shared" si="1"/>
        <v>10</v>
      </c>
    </row>
    <row r="71" spans="1:6" x14ac:dyDescent="0.2">
      <c r="A71" s="6">
        <v>70</v>
      </c>
      <c r="B71" s="7" t="s">
        <v>174</v>
      </c>
      <c r="C71" s="8" t="s">
        <v>193</v>
      </c>
      <c r="D71" s="8" t="s">
        <v>194</v>
      </c>
      <c r="E71" s="9" t="s">
        <v>195</v>
      </c>
      <c r="F71" s="6">
        <f t="shared" si="1"/>
        <v>13</v>
      </c>
    </row>
    <row r="72" spans="1:6" ht="28" x14ac:dyDescent="0.2">
      <c r="A72" s="2">
        <v>71</v>
      </c>
      <c r="B72" s="3" t="s">
        <v>196</v>
      </c>
      <c r="C72" s="4" t="s">
        <v>197</v>
      </c>
      <c r="D72" s="4" t="s">
        <v>198</v>
      </c>
      <c r="E72" s="5" t="s">
        <v>199</v>
      </c>
      <c r="F72" s="2">
        <f t="shared" si="1"/>
        <v>18</v>
      </c>
    </row>
    <row r="73" spans="1:6" ht="28" x14ac:dyDescent="0.2">
      <c r="A73" s="6">
        <v>72</v>
      </c>
      <c r="B73" s="7" t="s">
        <v>196</v>
      </c>
      <c r="C73" s="8" t="s">
        <v>200</v>
      </c>
      <c r="D73" s="8" t="s">
        <v>201</v>
      </c>
      <c r="E73" s="9" t="s">
        <v>202</v>
      </c>
      <c r="F73" s="6">
        <f t="shared" si="1"/>
        <v>19</v>
      </c>
    </row>
    <row r="74" spans="1:6" x14ac:dyDescent="0.2">
      <c r="A74" s="2">
        <v>73</v>
      </c>
      <c r="B74" s="3" t="s">
        <v>196</v>
      </c>
      <c r="C74" s="4" t="s">
        <v>203</v>
      </c>
      <c r="D74" s="4" t="s">
        <v>204</v>
      </c>
      <c r="E74" s="5" t="s">
        <v>205</v>
      </c>
      <c r="F74" s="2">
        <f t="shared" si="1"/>
        <v>10</v>
      </c>
    </row>
    <row r="75" spans="1:6" x14ac:dyDescent="0.2">
      <c r="A75" s="6">
        <v>74</v>
      </c>
      <c r="B75" s="7" t="s">
        <v>196</v>
      </c>
      <c r="C75" s="8" t="s">
        <v>206</v>
      </c>
      <c r="D75" s="8" t="s">
        <v>207</v>
      </c>
      <c r="E75" s="9" t="s">
        <v>208</v>
      </c>
      <c r="F75" s="6">
        <f t="shared" si="1"/>
        <v>12</v>
      </c>
    </row>
    <row r="76" spans="1:6" x14ac:dyDescent="0.2">
      <c r="A76" s="2">
        <v>75</v>
      </c>
      <c r="B76" s="3" t="s">
        <v>196</v>
      </c>
      <c r="C76" s="4" t="s">
        <v>209</v>
      </c>
      <c r="D76" s="4" t="s">
        <v>210</v>
      </c>
      <c r="E76" s="5" t="s">
        <v>211</v>
      </c>
      <c r="F76" s="2">
        <f t="shared" si="1"/>
        <v>11</v>
      </c>
    </row>
    <row r="77" spans="1:6" ht="28" x14ac:dyDescent="0.2">
      <c r="A77" s="6">
        <v>76</v>
      </c>
      <c r="B77" s="7" t="s">
        <v>196</v>
      </c>
      <c r="C77" s="8" t="s">
        <v>212</v>
      </c>
      <c r="D77" s="8" t="s">
        <v>213</v>
      </c>
      <c r="E77" s="9" t="s">
        <v>211</v>
      </c>
      <c r="F77" s="6">
        <f t="shared" si="1"/>
        <v>12</v>
      </c>
    </row>
    <row r="78" spans="1:6" ht="28" x14ac:dyDescent="0.2">
      <c r="A78" s="2">
        <v>77</v>
      </c>
      <c r="B78" s="3" t="s">
        <v>196</v>
      </c>
      <c r="C78" s="4" t="s">
        <v>214</v>
      </c>
      <c r="D78" s="4" t="s">
        <v>215</v>
      </c>
      <c r="E78" s="5" t="s">
        <v>216</v>
      </c>
      <c r="F78" s="2">
        <f t="shared" si="1"/>
        <v>14</v>
      </c>
    </row>
    <row r="79" spans="1:6" ht="28" x14ac:dyDescent="0.2">
      <c r="A79" s="6">
        <v>78</v>
      </c>
      <c r="B79" s="7" t="s">
        <v>196</v>
      </c>
      <c r="C79" s="8" t="s">
        <v>217</v>
      </c>
      <c r="D79" s="8" t="s">
        <v>218</v>
      </c>
      <c r="E79" s="9" t="s">
        <v>216</v>
      </c>
      <c r="F79" s="6">
        <f t="shared" si="1"/>
        <v>20</v>
      </c>
    </row>
    <row r="80" spans="1:6" ht="28" x14ac:dyDescent="0.2">
      <c r="A80" s="2">
        <v>79</v>
      </c>
      <c r="B80" s="3" t="s">
        <v>196</v>
      </c>
      <c r="C80" s="4" t="s">
        <v>219</v>
      </c>
      <c r="D80" s="4" t="s">
        <v>220</v>
      </c>
      <c r="E80" s="5" t="s">
        <v>221</v>
      </c>
      <c r="F80" s="2">
        <f t="shared" si="1"/>
        <v>22</v>
      </c>
    </row>
    <row r="81" spans="1:6" x14ac:dyDescent="0.2">
      <c r="A81" s="6">
        <v>80</v>
      </c>
      <c r="B81" s="7" t="s">
        <v>196</v>
      </c>
      <c r="C81" s="8" t="s">
        <v>222</v>
      </c>
      <c r="D81" s="8" t="s">
        <v>223</v>
      </c>
      <c r="E81" s="9" t="s">
        <v>224</v>
      </c>
      <c r="F81" s="6">
        <f t="shared" si="1"/>
        <v>9</v>
      </c>
    </row>
    <row r="82" spans="1:6" ht="28" x14ac:dyDescent="0.2">
      <c r="A82" s="2">
        <v>81</v>
      </c>
      <c r="B82" s="3" t="s">
        <v>196</v>
      </c>
      <c r="C82" s="4" t="s">
        <v>225</v>
      </c>
      <c r="D82" s="4" t="s">
        <v>226</v>
      </c>
      <c r="E82" s="5" t="s">
        <v>227</v>
      </c>
      <c r="F82" s="2">
        <f t="shared" si="1"/>
        <v>20</v>
      </c>
    </row>
    <row r="83" spans="1:6" ht="28" x14ac:dyDescent="0.2">
      <c r="A83" s="6">
        <v>82</v>
      </c>
      <c r="B83" s="7" t="s">
        <v>196</v>
      </c>
      <c r="C83" s="8" t="s">
        <v>228</v>
      </c>
      <c r="D83" s="8" t="s">
        <v>229</v>
      </c>
      <c r="E83" s="9" t="s">
        <v>230</v>
      </c>
      <c r="F83" s="6">
        <f t="shared" si="1"/>
        <v>18</v>
      </c>
    </row>
    <row r="84" spans="1:6" ht="28" x14ac:dyDescent="0.2">
      <c r="A84" s="2">
        <v>83</v>
      </c>
      <c r="B84" s="3" t="s">
        <v>196</v>
      </c>
      <c r="C84" s="4" t="s">
        <v>231</v>
      </c>
      <c r="D84" s="4" t="s">
        <v>232</v>
      </c>
      <c r="E84" s="5" t="s">
        <v>233</v>
      </c>
      <c r="F84" s="2">
        <f t="shared" si="1"/>
        <v>23</v>
      </c>
    </row>
    <row r="85" spans="1:6" x14ac:dyDescent="0.2">
      <c r="A85" s="6">
        <v>84</v>
      </c>
      <c r="B85" s="7" t="s">
        <v>196</v>
      </c>
      <c r="C85" s="8" t="s">
        <v>234</v>
      </c>
      <c r="D85" s="8" t="s">
        <v>235</v>
      </c>
      <c r="E85" s="9" t="s">
        <v>236</v>
      </c>
      <c r="F85" s="6">
        <f t="shared" si="1"/>
        <v>11</v>
      </c>
    </row>
    <row r="86" spans="1:6" ht="28" x14ac:dyDescent="0.2">
      <c r="A86" s="2">
        <v>85</v>
      </c>
      <c r="B86" s="3" t="s">
        <v>196</v>
      </c>
      <c r="C86" s="4" t="s">
        <v>237</v>
      </c>
      <c r="D86" s="4" t="s">
        <v>238</v>
      </c>
      <c r="E86" s="5" t="s">
        <v>239</v>
      </c>
      <c r="F86" s="2">
        <f t="shared" si="1"/>
        <v>21</v>
      </c>
    </row>
    <row r="87" spans="1:6" ht="28" x14ac:dyDescent="0.2">
      <c r="A87" s="6">
        <v>86</v>
      </c>
      <c r="B87" s="7" t="s">
        <v>240</v>
      </c>
      <c r="C87" s="8" t="s">
        <v>241</v>
      </c>
      <c r="D87" s="8" t="s">
        <v>242</v>
      </c>
      <c r="E87" s="9" t="s">
        <v>243</v>
      </c>
      <c r="F87" s="6">
        <f t="shared" si="1"/>
        <v>21</v>
      </c>
    </row>
    <row r="88" spans="1:6" x14ac:dyDescent="0.2">
      <c r="A88" s="2">
        <v>87</v>
      </c>
      <c r="B88" s="3" t="s">
        <v>240</v>
      </c>
      <c r="C88" s="4" t="s">
        <v>244</v>
      </c>
      <c r="D88" s="4" t="s">
        <v>245</v>
      </c>
      <c r="E88" s="5" t="s">
        <v>243</v>
      </c>
      <c r="F88" s="2">
        <f t="shared" si="1"/>
        <v>15</v>
      </c>
    </row>
    <row r="89" spans="1:6" ht="28" x14ac:dyDescent="0.2">
      <c r="A89" s="6">
        <v>88</v>
      </c>
      <c r="B89" s="7" t="s">
        <v>240</v>
      </c>
      <c r="C89" s="8" t="s">
        <v>246</v>
      </c>
      <c r="D89" s="8" t="s">
        <v>247</v>
      </c>
      <c r="E89" s="9" t="s">
        <v>243</v>
      </c>
      <c r="F89" s="6">
        <f t="shared" si="1"/>
        <v>20</v>
      </c>
    </row>
    <row r="90" spans="1:6" ht="28" x14ac:dyDescent="0.2">
      <c r="A90" s="2">
        <v>89</v>
      </c>
      <c r="B90" s="3" t="s">
        <v>240</v>
      </c>
      <c r="C90" s="4" t="s">
        <v>248</v>
      </c>
      <c r="D90" s="4" t="s">
        <v>249</v>
      </c>
      <c r="E90" s="5" t="s">
        <v>250</v>
      </c>
      <c r="F90" s="2">
        <f t="shared" si="1"/>
        <v>16</v>
      </c>
    </row>
    <row r="91" spans="1:6" x14ac:dyDescent="0.2">
      <c r="A91" s="6">
        <v>90</v>
      </c>
      <c r="B91" s="7" t="s">
        <v>240</v>
      </c>
      <c r="C91" s="8" t="s">
        <v>251</v>
      </c>
      <c r="D91" s="8" t="s">
        <v>252</v>
      </c>
      <c r="E91" s="9" t="s">
        <v>250</v>
      </c>
      <c r="F91" s="6">
        <f t="shared" si="1"/>
        <v>11</v>
      </c>
    </row>
    <row r="92" spans="1:6" x14ac:dyDescent="0.2">
      <c r="A92" s="2">
        <v>91</v>
      </c>
      <c r="B92" s="3" t="s">
        <v>240</v>
      </c>
      <c r="C92" s="4" t="s">
        <v>253</v>
      </c>
      <c r="D92" s="4" t="s">
        <v>254</v>
      </c>
      <c r="E92" s="5" t="s">
        <v>255</v>
      </c>
      <c r="F92" s="2">
        <f t="shared" si="1"/>
        <v>13</v>
      </c>
    </row>
    <row r="93" spans="1:6" ht="28" x14ac:dyDescent="0.2">
      <c r="A93" s="6">
        <v>92</v>
      </c>
      <c r="B93" s="7" t="s">
        <v>240</v>
      </c>
      <c r="C93" s="8" t="s">
        <v>256</v>
      </c>
      <c r="D93" s="8" t="s">
        <v>257</v>
      </c>
      <c r="E93" s="9" t="s">
        <v>258</v>
      </c>
      <c r="F93" s="6">
        <f t="shared" si="1"/>
        <v>19</v>
      </c>
    </row>
    <row r="94" spans="1:6" ht="28" x14ac:dyDescent="0.2">
      <c r="A94" s="2">
        <v>93</v>
      </c>
      <c r="B94" s="3" t="s">
        <v>240</v>
      </c>
      <c r="C94" s="4" t="s">
        <v>259</v>
      </c>
      <c r="D94" s="4" t="s">
        <v>260</v>
      </c>
      <c r="E94" s="5" t="s">
        <v>258</v>
      </c>
      <c r="F94" s="2">
        <f t="shared" si="1"/>
        <v>23</v>
      </c>
    </row>
    <row r="95" spans="1:6" x14ac:dyDescent="0.2">
      <c r="A95" s="6">
        <v>94</v>
      </c>
      <c r="B95" s="7" t="s">
        <v>240</v>
      </c>
      <c r="C95" s="8" t="s">
        <v>261</v>
      </c>
      <c r="D95" s="8" t="s">
        <v>262</v>
      </c>
      <c r="E95" s="9" t="s">
        <v>258</v>
      </c>
      <c r="F95" s="6">
        <f t="shared" si="1"/>
        <v>12</v>
      </c>
    </row>
    <row r="96" spans="1:6" ht="28" x14ac:dyDescent="0.2">
      <c r="A96" s="2">
        <v>95</v>
      </c>
      <c r="B96" s="3" t="s">
        <v>240</v>
      </c>
      <c r="C96" s="4" t="s">
        <v>263</v>
      </c>
      <c r="D96" s="4" t="s">
        <v>264</v>
      </c>
      <c r="E96" s="5" t="s">
        <v>265</v>
      </c>
      <c r="F96" s="2">
        <f t="shared" si="1"/>
        <v>23</v>
      </c>
    </row>
    <row r="97" spans="1:6" ht="28" x14ac:dyDescent="0.2">
      <c r="A97" s="6">
        <v>96</v>
      </c>
      <c r="B97" s="7" t="s">
        <v>240</v>
      </c>
      <c r="C97" s="8" t="s">
        <v>266</v>
      </c>
      <c r="D97" s="8" t="s">
        <v>267</v>
      </c>
      <c r="E97" s="9" t="s">
        <v>268</v>
      </c>
      <c r="F97" s="6">
        <f t="shared" si="1"/>
        <v>17</v>
      </c>
    </row>
    <row r="98" spans="1:6" ht="28" x14ac:dyDescent="0.2">
      <c r="A98" s="2">
        <v>97</v>
      </c>
      <c r="B98" s="3" t="s">
        <v>240</v>
      </c>
      <c r="C98" s="4" t="s">
        <v>269</v>
      </c>
      <c r="D98" s="4" t="s">
        <v>270</v>
      </c>
      <c r="E98" s="5" t="s">
        <v>271</v>
      </c>
      <c r="F98" s="2">
        <f t="shared" si="1"/>
        <v>16</v>
      </c>
    </row>
    <row r="99" spans="1:6" ht="28" x14ac:dyDescent="0.2">
      <c r="A99" s="6">
        <v>98</v>
      </c>
      <c r="B99" s="7" t="s">
        <v>240</v>
      </c>
      <c r="C99" s="8" t="s">
        <v>272</v>
      </c>
      <c r="D99" s="8" t="s">
        <v>273</v>
      </c>
      <c r="E99" s="9" t="s">
        <v>274</v>
      </c>
      <c r="F99" s="6">
        <f t="shared" si="1"/>
        <v>28</v>
      </c>
    </row>
    <row r="100" spans="1:6" ht="28" x14ac:dyDescent="0.2">
      <c r="A100" s="2">
        <v>99</v>
      </c>
      <c r="B100" s="3" t="s">
        <v>240</v>
      </c>
      <c r="C100" s="4" t="s">
        <v>275</v>
      </c>
      <c r="D100" s="4" t="s">
        <v>276</v>
      </c>
      <c r="E100" s="5" t="s">
        <v>277</v>
      </c>
      <c r="F100" s="2">
        <f t="shared" si="1"/>
        <v>21</v>
      </c>
    </row>
    <row r="101" spans="1:6" ht="28" x14ac:dyDescent="0.2">
      <c r="A101" s="6">
        <v>100</v>
      </c>
      <c r="B101" s="7" t="s">
        <v>240</v>
      </c>
      <c r="C101" s="8" t="s">
        <v>278</v>
      </c>
      <c r="D101" s="8" t="s">
        <v>279</v>
      </c>
      <c r="E101" s="9" t="s">
        <v>280</v>
      </c>
      <c r="F101" s="6">
        <f t="shared" si="1"/>
        <v>19</v>
      </c>
    </row>
    <row r="102" spans="1:6" ht="28" x14ac:dyDescent="0.2">
      <c r="A102" s="2">
        <v>101</v>
      </c>
      <c r="B102" s="3" t="s">
        <v>240</v>
      </c>
      <c r="C102" s="4" t="s">
        <v>281</v>
      </c>
      <c r="D102" s="4" t="s">
        <v>282</v>
      </c>
      <c r="E102" s="5" t="s">
        <v>81</v>
      </c>
      <c r="F102" s="2">
        <f t="shared" si="1"/>
        <v>22</v>
      </c>
    </row>
    <row r="103" spans="1:6" x14ac:dyDescent="0.2">
      <c r="A103" s="6">
        <v>102</v>
      </c>
      <c r="B103" s="7" t="s">
        <v>240</v>
      </c>
      <c r="C103" s="8" t="s">
        <v>283</v>
      </c>
      <c r="D103" s="8" t="s">
        <v>284</v>
      </c>
      <c r="E103" s="9" t="s">
        <v>285</v>
      </c>
      <c r="F103" s="6">
        <f t="shared" si="1"/>
        <v>8</v>
      </c>
    </row>
    <row r="104" spans="1:6" ht="28" x14ac:dyDescent="0.2">
      <c r="A104" s="2">
        <v>103</v>
      </c>
      <c r="B104" s="3" t="s">
        <v>286</v>
      </c>
      <c r="C104" s="4" t="s">
        <v>287</v>
      </c>
      <c r="D104" s="4" t="s">
        <v>288</v>
      </c>
      <c r="E104" s="5" t="s">
        <v>289</v>
      </c>
      <c r="F104" s="2">
        <f t="shared" si="1"/>
        <v>22</v>
      </c>
    </row>
    <row r="105" spans="1:6" ht="28" x14ac:dyDescent="0.2">
      <c r="A105" s="6">
        <v>104</v>
      </c>
      <c r="B105" s="7" t="s">
        <v>286</v>
      </c>
      <c r="C105" s="8" t="s">
        <v>290</v>
      </c>
      <c r="D105" s="8" t="s">
        <v>291</v>
      </c>
      <c r="E105" s="9" t="s">
        <v>292</v>
      </c>
      <c r="F105" s="6">
        <f t="shared" si="1"/>
        <v>24</v>
      </c>
    </row>
    <row r="106" spans="1:6" ht="28" x14ac:dyDescent="0.2">
      <c r="A106" s="2">
        <v>105</v>
      </c>
      <c r="B106" s="3" t="s">
        <v>286</v>
      </c>
      <c r="C106" s="4" t="s">
        <v>293</v>
      </c>
      <c r="D106" s="4" t="s">
        <v>294</v>
      </c>
      <c r="E106" s="5" t="s">
        <v>295</v>
      </c>
      <c r="F106" s="2">
        <f t="shared" si="1"/>
        <v>19</v>
      </c>
    </row>
    <row r="107" spans="1:6" ht="28" x14ac:dyDescent="0.2">
      <c r="A107" s="6">
        <v>106</v>
      </c>
      <c r="B107" s="7" t="s">
        <v>286</v>
      </c>
      <c r="C107" s="8" t="s">
        <v>296</v>
      </c>
      <c r="D107" s="8" t="s">
        <v>297</v>
      </c>
      <c r="E107" s="9" t="s">
        <v>295</v>
      </c>
      <c r="F107" s="6">
        <f t="shared" si="1"/>
        <v>12</v>
      </c>
    </row>
    <row r="108" spans="1:6" ht="28" x14ac:dyDescent="0.2">
      <c r="A108" s="2">
        <v>107</v>
      </c>
      <c r="B108" s="3" t="s">
        <v>286</v>
      </c>
      <c r="C108" s="4" t="s">
        <v>298</v>
      </c>
      <c r="D108" s="4" t="s">
        <v>299</v>
      </c>
      <c r="E108" s="5" t="s">
        <v>300</v>
      </c>
      <c r="F108" s="2">
        <f t="shared" si="1"/>
        <v>20</v>
      </c>
    </row>
    <row r="109" spans="1:6" ht="28" x14ac:dyDescent="0.2">
      <c r="A109" s="6">
        <v>108</v>
      </c>
      <c r="B109" s="7" t="s">
        <v>286</v>
      </c>
      <c r="C109" s="8" t="s">
        <v>301</v>
      </c>
      <c r="D109" s="8" t="s">
        <v>302</v>
      </c>
      <c r="E109" s="9" t="s">
        <v>303</v>
      </c>
      <c r="F109" s="6">
        <f t="shared" si="1"/>
        <v>13</v>
      </c>
    </row>
    <row r="110" spans="1:6" ht="28" x14ac:dyDescent="0.2">
      <c r="A110" s="2">
        <v>109</v>
      </c>
      <c r="B110" s="3" t="s">
        <v>286</v>
      </c>
      <c r="C110" s="4" t="s">
        <v>304</v>
      </c>
      <c r="D110" s="4" t="s">
        <v>305</v>
      </c>
      <c r="E110" s="5" t="s">
        <v>306</v>
      </c>
      <c r="F110" s="2">
        <f t="shared" si="1"/>
        <v>20</v>
      </c>
    </row>
    <row r="111" spans="1:6" ht="28" x14ac:dyDescent="0.2">
      <c r="A111" s="6">
        <v>110</v>
      </c>
      <c r="B111" s="7" t="s">
        <v>286</v>
      </c>
      <c r="C111" s="8" t="s">
        <v>307</v>
      </c>
      <c r="D111" s="8" t="s">
        <v>308</v>
      </c>
      <c r="E111" s="9" t="s">
        <v>309</v>
      </c>
      <c r="F111" s="6">
        <f t="shared" si="1"/>
        <v>19</v>
      </c>
    </row>
    <row r="112" spans="1:6" ht="28" x14ac:dyDescent="0.2">
      <c r="A112" s="2">
        <v>111</v>
      </c>
      <c r="B112" s="3" t="s">
        <v>286</v>
      </c>
      <c r="C112" s="4" t="s">
        <v>310</v>
      </c>
      <c r="D112" s="4" t="s">
        <v>311</v>
      </c>
      <c r="E112" s="5" t="s">
        <v>306</v>
      </c>
      <c r="F112" s="2">
        <f t="shared" si="1"/>
        <v>10</v>
      </c>
    </row>
    <row r="113" spans="1:6" ht="28" x14ac:dyDescent="0.2">
      <c r="A113" s="6">
        <v>112</v>
      </c>
      <c r="B113" s="7" t="s">
        <v>286</v>
      </c>
      <c r="C113" s="8" t="s">
        <v>312</v>
      </c>
      <c r="D113" s="8" t="s">
        <v>313</v>
      </c>
      <c r="E113" s="9" t="s">
        <v>314</v>
      </c>
      <c r="F113" s="6">
        <f t="shared" si="1"/>
        <v>11</v>
      </c>
    </row>
    <row r="114" spans="1:6" ht="28" x14ac:dyDescent="0.2">
      <c r="A114" s="2">
        <v>113</v>
      </c>
      <c r="B114" s="3" t="s">
        <v>286</v>
      </c>
      <c r="C114" s="4" t="s">
        <v>315</v>
      </c>
      <c r="D114" s="4" t="s">
        <v>316</v>
      </c>
      <c r="E114" s="5" t="s">
        <v>317</v>
      </c>
      <c r="F114" s="2">
        <f t="shared" si="1"/>
        <v>15</v>
      </c>
    </row>
    <row r="115" spans="1:6" ht="28" x14ac:dyDescent="0.2">
      <c r="A115" s="6">
        <v>114</v>
      </c>
      <c r="B115" s="7" t="s">
        <v>286</v>
      </c>
      <c r="C115" s="8" t="s">
        <v>318</v>
      </c>
      <c r="D115" s="8" t="s">
        <v>319</v>
      </c>
      <c r="E115" s="9" t="s">
        <v>317</v>
      </c>
      <c r="F115" s="6">
        <f t="shared" si="1"/>
        <v>13</v>
      </c>
    </row>
    <row r="116" spans="1:6" ht="28" x14ac:dyDescent="0.2">
      <c r="A116" s="2">
        <v>115</v>
      </c>
      <c r="B116" s="3" t="s">
        <v>320</v>
      </c>
      <c r="C116" s="4" t="s">
        <v>321</v>
      </c>
      <c r="D116" s="4" t="s">
        <v>322</v>
      </c>
      <c r="E116" s="5" t="s">
        <v>323</v>
      </c>
      <c r="F116" s="2">
        <f t="shared" si="1"/>
        <v>23</v>
      </c>
    </row>
    <row r="117" spans="1:6" ht="28" x14ac:dyDescent="0.2">
      <c r="A117" s="6">
        <v>116</v>
      </c>
      <c r="B117" s="7" t="s">
        <v>320</v>
      </c>
      <c r="C117" s="8" t="s">
        <v>324</v>
      </c>
      <c r="D117" s="8" t="s">
        <v>325</v>
      </c>
      <c r="E117" s="9" t="s">
        <v>326</v>
      </c>
      <c r="F117" s="6">
        <f t="shared" si="1"/>
        <v>20</v>
      </c>
    </row>
    <row r="118" spans="1:6" x14ac:dyDescent="0.2">
      <c r="A118" s="2">
        <v>117</v>
      </c>
      <c r="B118" s="3" t="s">
        <v>320</v>
      </c>
      <c r="C118" s="4" t="s">
        <v>327</v>
      </c>
      <c r="D118" s="4" t="s">
        <v>328</v>
      </c>
      <c r="E118" s="5" t="s">
        <v>329</v>
      </c>
      <c r="F118" s="2">
        <f t="shared" si="1"/>
        <v>15</v>
      </c>
    </row>
    <row r="119" spans="1:6" ht="28" x14ac:dyDescent="0.2">
      <c r="A119" s="6">
        <v>118</v>
      </c>
      <c r="B119" s="7" t="s">
        <v>320</v>
      </c>
      <c r="C119" s="8" t="s">
        <v>330</v>
      </c>
      <c r="D119" s="8" t="s">
        <v>331</v>
      </c>
      <c r="E119" s="9" t="s">
        <v>195</v>
      </c>
      <c r="F119" s="6">
        <f t="shared" si="1"/>
        <v>20</v>
      </c>
    </row>
    <row r="120" spans="1:6" x14ac:dyDescent="0.2">
      <c r="A120" s="2">
        <v>119</v>
      </c>
      <c r="B120" s="3" t="s">
        <v>320</v>
      </c>
      <c r="C120" s="4" t="s">
        <v>332</v>
      </c>
      <c r="D120" s="4" t="s">
        <v>333</v>
      </c>
      <c r="E120" s="5" t="s">
        <v>195</v>
      </c>
      <c r="F120" s="2">
        <f t="shared" si="1"/>
        <v>13</v>
      </c>
    </row>
    <row r="121" spans="1:6" ht="28" x14ac:dyDescent="0.2">
      <c r="A121" s="6">
        <v>120</v>
      </c>
      <c r="B121" s="7" t="s">
        <v>320</v>
      </c>
      <c r="C121" s="8" t="s">
        <v>334</v>
      </c>
      <c r="D121" s="8" t="s">
        <v>335</v>
      </c>
      <c r="E121" s="9" t="s">
        <v>336</v>
      </c>
      <c r="F121" s="6">
        <f t="shared" si="1"/>
        <v>23</v>
      </c>
    </row>
    <row r="122" spans="1:6" ht="28" x14ac:dyDescent="0.2">
      <c r="A122" s="2">
        <v>121</v>
      </c>
      <c r="B122" s="3" t="s">
        <v>320</v>
      </c>
      <c r="C122" s="4" t="s">
        <v>337</v>
      </c>
      <c r="D122" s="4" t="s">
        <v>338</v>
      </c>
      <c r="E122" s="5" t="s">
        <v>336</v>
      </c>
      <c r="F122" s="2">
        <f t="shared" si="1"/>
        <v>16</v>
      </c>
    </row>
    <row r="123" spans="1:6" ht="28" x14ac:dyDescent="0.2">
      <c r="A123" s="6">
        <v>122</v>
      </c>
      <c r="B123" s="7" t="s">
        <v>320</v>
      </c>
      <c r="C123" s="8" t="s">
        <v>339</v>
      </c>
      <c r="D123" s="8" t="s">
        <v>340</v>
      </c>
      <c r="E123" s="9" t="s">
        <v>336</v>
      </c>
      <c r="F123" s="6">
        <f t="shared" si="1"/>
        <v>16</v>
      </c>
    </row>
    <row r="124" spans="1:6" ht="28" x14ac:dyDescent="0.2">
      <c r="A124" s="2">
        <v>123</v>
      </c>
      <c r="B124" s="3" t="s">
        <v>320</v>
      </c>
      <c r="C124" s="4" t="s">
        <v>341</v>
      </c>
      <c r="D124" s="4" t="s">
        <v>342</v>
      </c>
      <c r="E124" s="5" t="s">
        <v>343</v>
      </c>
      <c r="F124" s="2">
        <f t="shared" si="1"/>
        <v>20</v>
      </c>
    </row>
    <row r="125" spans="1:6" x14ac:dyDescent="0.2">
      <c r="A125" s="6">
        <v>124</v>
      </c>
      <c r="B125" s="7" t="s">
        <v>320</v>
      </c>
      <c r="C125" s="8" t="s">
        <v>344</v>
      </c>
      <c r="D125" s="8" t="s">
        <v>345</v>
      </c>
      <c r="E125" s="9" t="s">
        <v>153</v>
      </c>
      <c r="F125" s="6">
        <f t="shared" si="1"/>
        <v>14</v>
      </c>
    </row>
    <row r="126" spans="1:6" ht="28" x14ac:dyDescent="0.2">
      <c r="A126" s="2">
        <v>125</v>
      </c>
      <c r="B126" s="3" t="s">
        <v>320</v>
      </c>
      <c r="C126" s="4" t="s">
        <v>346</v>
      </c>
      <c r="D126" s="4" t="s">
        <v>347</v>
      </c>
      <c r="E126" s="5" t="s">
        <v>348</v>
      </c>
      <c r="F126" s="2">
        <f t="shared" si="1"/>
        <v>17</v>
      </c>
    </row>
    <row r="127" spans="1:6" ht="28" x14ac:dyDescent="0.2">
      <c r="A127" s="6">
        <v>126</v>
      </c>
      <c r="B127" s="7" t="s">
        <v>320</v>
      </c>
      <c r="C127" s="8" t="s">
        <v>349</v>
      </c>
      <c r="D127" s="8" t="s">
        <v>350</v>
      </c>
      <c r="E127" s="9" t="s">
        <v>351</v>
      </c>
      <c r="F127" s="6">
        <f t="shared" si="1"/>
        <v>13</v>
      </c>
    </row>
    <row r="128" spans="1:6" ht="26" x14ac:dyDescent="0.2">
      <c r="A128" s="2">
        <v>127</v>
      </c>
      <c r="B128" s="3" t="s">
        <v>320</v>
      </c>
      <c r="C128" s="4" t="s">
        <v>352</v>
      </c>
      <c r="D128" s="4" t="s">
        <v>353</v>
      </c>
      <c r="E128" s="5" t="s">
        <v>354</v>
      </c>
      <c r="F128" s="2">
        <f t="shared" si="1"/>
        <v>15</v>
      </c>
    </row>
    <row r="129" spans="1:6" ht="28" x14ac:dyDescent="0.2">
      <c r="A129" s="6">
        <v>128</v>
      </c>
      <c r="B129" s="7" t="s">
        <v>320</v>
      </c>
      <c r="C129" s="8" t="s">
        <v>355</v>
      </c>
      <c r="D129" s="8" t="s">
        <v>356</v>
      </c>
      <c r="E129" s="9" t="s">
        <v>357</v>
      </c>
      <c r="F129" s="6">
        <f t="shared" si="1"/>
        <v>16</v>
      </c>
    </row>
    <row r="130" spans="1:6" ht="28" x14ac:dyDescent="0.2">
      <c r="A130" s="2">
        <v>129</v>
      </c>
      <c r="B130" s="3" t="s">
        <v>320</v>
      </c>
      <c r="C130" s="4" t="s">
        <v>358</v>
      </c>
      <c r="D130" s="4" t="s">
        <v>359</v>
      </c>
      <c r="E130" s="5" t="s">
        <v>360</v>
      </c>
      <c r="F130" s="2">
        <f t="shared" ref="F130:F193" si="2">IF(D130="",0,LEN(TRIM(D130))-LEN(SUBSTITUTE(TRIM(D130)," ",""))+1)</f>
        <v>18</v>
      </c>
    </row>
    <row r="131" spans="1:6" x14ac:dyDescent="0.2">
      <c r="A131" s="6">
        <v>130</v>
      </c>
      <c r="B131" s="7" t="s">
        <v>320</v>
      </c>
      <c r="C131" s="8" t="s">
        <v>361</v>
      </c>
      <c r="D131" s="8" t="s">
        <v>362</v>
      </c>
      <c r="E131" s="9" t="s">
        <v>363</v>
      </c>
      <c r="F131" s="6">
        <f t="shared" si="2"/>
        <v>14</v>
      </c>
    </row>
    <row r="132" spans="1:6" ht="28" x14ac:dyDescent="0.2">
      <c r="A132" s="2">
        <v>131</v>
      </c>
      <c r="B132" s="3" t="s">
        <v>320</v>
      </c>
      <c r="C132" s="4" t="s">
        <v>364</v>
      </c>
      <c r="D132" s="4" t="s">
        <v>365</v>
      </c>
      <c r="E132" s="5" t="s">
        <v>366</v>
      </c>
      <c r="F132" s="2">
        <f t="shared" si="2"/>
        <v>21</v>
      </c>
    </row>
    <row r="133" spans="1:6" ht="28" x14ac:dyDescent="0.2">
      <c r="A133" s="6">
        <v>132</v>
      </c>
      <c r="B133" s="7" t="s">
        <v>320</v>
      </c>
      <c r="C133" s="8" t="s">
        <v>367</v>
      </c>
      <c r="D133" s="8" t="s">
        <v>368</v>
      </c>
      <c r="E133" s="9" t="s">
        <v>366</v>
      </c>
      <c r="F133" s="6">
        <f t="shared" si="2"/>
        <v>16</v>
      </c>
    </row>
    <row r="134" spans="1:6" ht="28" x14ac:dyDescent="0.2">
      <c r="A134" s="2">
        <v>133</v>
      </c>
      <c r="B134" s="3" t="s">
        <v>369</v>
      </c>
      <c r="C134" s="4" t="s">
        <v>370</v>
      </c>
      <c r="D134" s="4" t="s">
        <v>371</v>
      </c>
      <c r="E134" s="5" t="s">
        <v>372</v>
      </c>
      <c r="F134" s="2">
        <f t="shared" si="2"/>
        <v>13</v>
      </c>
    </row>
    <row r="135" spans="1:6" ht="28" x14ac:dyDescent="0.2">
      <c r="A135" s="6">
        <v>134</v>
      </c>
      <c r="B135" s="7" t="s">
        <v>369</v>
      </c>
      <c r="C135" s="8" t="s">
        <v>373</v>
      </c>
      <c r="D135" s="8" t="s">
        <v>374</v>
      </c>
      <c r="E135" s="9" t="s">
        <v>372</v>
      </c>
      <c r="F135" s="6">
        <f t="shared" si="2"/>
        <v>20</v>
      </c>
    </row>
    <row r="136" spans="1:6" ht="28" x14ac:dyDescent="0.2">
      <c r="A136" s="2">
        <v>135</v>
      </c>
      <c r="B136" s="3" t="s">
        <v>369</v>
      </c>
      <c r="C136" s="4" t="s">
        <v>375</v>
      </c>
      <c r="D136" s="4" t="s">
        <v>376</v>
      </c>
      <c r="E136" s="5" t="s">
        <v>372</v>
      </c>
      <c r="F136" s="2">
        <f t="shared" si="2"/>
        <v>17</v>
      </c>
    </row>
    <row r="137" spans="1:6" ht="28" x14ac:dyDescent="0.2">
      <c r="A137" s="6">
        <v>136</v>
      </c>
      <c r="B137" s="7" t="s">
        <v>369</v>
      </c>
      <c r="C137" s="8" t="s">
        <v>377</v>
      </c>
      <c r="D137" s="8" t="s">
        <v>378</v>
      </c>
      <c r="E137" s="9" t="s">
        <v>379</v>
      </c>
      <c r="F137" s="6">
        <f t="shared" si="2"/>
        <v>18</v>
      </c>
    </row>
    <row r="138" spans="1:6" ht="28" x14ac:dyDescent="0.2">
      <c r="A138" s="2">
        <v>137</v>
      </c>
      <c r="B138" s="3" t="s">
        <v>369</v>
      </c>
      <c r="C138" s="4" t="s">
        <v>380</v>
      </c>
      <c r="D138" s="4" t="s">
        <v>381</v>
      </c>
      <c r="E138" s="5" t="s">
        <v>382</v>
      </c>
      <c r="F138" s="2">
        <f t="shared" si="2"/>
        <v>21</v>
      </c>
    </row>
    <row r="139" spans="1:6" x14ac:dyDescent="0.2">
      <c r="A139" s="6">
        <v>138</v>
      </c>
      <c r="B139" s="7" t="s">
        <v>369</v>
      </c>
      <c r="C139" s="8" t="s">
        <v>383</v>
      </c>
      <c r="D139" s="8" t="s">
        <v>384</v>
      </c>
      <c r="E139" s="9" t="s">
        <v>189</v>
      </c>
      <c r="F139" s="6">
        <f t="shared" si="2"/>
        <v>8</v>
      </c>
    </row>
    <row r="140" spans="1:6" ht="28" x14ac:dyDescent="0.2">
      <c r="A140" s="2">
        <v>139</v>
      </c>
      <c r="B140" s="3" t="s">
        <v>369</v>
      </c>
      <c r="C140" s="4" t="s">
        <v>385</v>
      </c>
      <c r="D140" s="4" t="s">
        <v>386</v>
      </c>
      <c r="E140" s="5" t="s">
        <v>387</v>
      </c>
      <c r="F140" s="2">
        <f t="shared" si="2"/>
        <v>13</v>
      </c>
    </row>
    <row r="141" spans="1:6" x14ac:dyDescent="0.2">
      <c r="A141" s="6">
        <v>140</v>
      </c>
      <c r="B141" s="7" t="s">
        <v>369</v>
      </c>
      <c r="C141" s="8" t="s">
        <v>388</v>
      </c>
      <c r="D141" s="8" t="s">
        <v>389</v>
      </c>
      <c r="E141" s="9" t="s">
        <v>387</v>
      </c>
      <c r="F141" s="6">
        <f t="shared" si="2"/>
        <v>9</v>
      </c>
    </row>
    <row r="142" spans="1:6" x14ac:dyDescent="0.2">
      <c r="A142" s="2">
        <v>141</v>
      </c>
      <c r="B142" s="3" t="s">
        <v>369</v>
      </c>
      <c r="C142" s="4" t="s">
        <v>390</v>
      </c>
      <c r="D142" s="4" t="s">
        <v>391</v>
      </c>
      <c r="E142" s="5" t="s">
        <v>392</v>
      </c>
      <c r="F142" s="2">
        <f t="shared" si="2"/>
        <v>12</v>
      </c>
    </row>
    <row r="143" spans="1:6" ht="28" x14ac:dyDescent="0.2">
      <c r="A143" s="6">
        <v>142</v>
      </c>
      <c r="B143" s="7" t="s">
        <v>369</v>
      </c>
      <c r="C143" s="8" t="s">
        <v>393</v>
      </c>
      <c r="D143" s="8" t="s">
        <v>394</v>
      </c>
      <c r="E143" s="9" t="s">
        <v>392</v>
      </c>
      <c r="F143" s="6">
        <f t="shared" si="2"/>
        <v>17</v>
      </c>
    </row>
    <row r="144" spans="1:6" ht="28" x14ac:dyDescent="0.2">
      <c r="A144" s="2">
        <v>143</v>
      </c>
      <c r="B144" s="3" t="s">
        <v>369</v>
      </c>
      <c r="C144" s="4" t="s">
        <v>395</v>
      </c>
      <c r="D144" s="4" t="s">
        <v>396</v>
      </c>
      <c r="E144" s="5" t="s">
        <v>372</v>
      </c>
      <c r="F144" s="2">
        <f t="shared" si="2"/>
        <v>14</v>
      </c>
    </row>
    <row r="145" spans="1:6" ht="28" x14ac:dyDescent="0.2">
      <c r="A145" s="6">
        <v>144</v>
      </c>
      <c r="B145" s="7" t="s">
        <v>397</v>
      </c>
      <c r="C145" s="8" t="s">
        <v>398</v>
      </c>
      <c r="D145" s="8" t="s">
        <v>399</v>
      </c>
      <c r="E145" s="9" t="s">
        <v>400</v>
      </c>
      <c r="F145" s="6">
        <f t="shared" si="2"/>
        <v>17</v>
      </c>
    </row>
    <row r="146" spans="1:6" ht="28" x14ac:dyDescent="0.2">
      <c r="A146" s="2">
        <v>145</v>
      </c>
      <c r="B146" s="3" t="s">
        <v>397</v>
      </c>
      <c r="C146" s="4" t="s">
        <v>401</v>
      </c>
      <c r="D146" s="4" t="s">
        <v>402</v>
      </c>
      <c r="E146" s="5" t="s">
        <v>403</v>
      </c>
      <c r="F146" s="2">
        <f t="shared" si="2"/>
        <v>15</v>
      </c>
    </row>
    <row r="147" spans="1:6" x14ac:dyDescent="0.2">
      <c r="A147" s="6">
        <v>146</v>
      </c>
      <c r="B147" s="7" t="s">
        <v>397</v>
      </c>
      <c r="C147" s="8" t="s">
        <v>404</v>
      </c>
      <c r="D147" s="8" t="s">
        <v>405</v>
      </c>
      <c r="E147" s="9" t="s">
        <v>406</v>
      </c>
      <c r="F147" s="6">
        <f t="shared" si="2"/>
        <v>2</v>
      </c>
    </row>
    <row r="148" spans="1:6" x14ac:dyDescent="0.2">
      <c r="A148" s="2">
        <v>147</v>
      </c>
      <c r="B148" s="3" t="s">
        <v>397</v>
      </c>
      <c r="C148" s="4" t="s">
        <v>407</v>
      </c>
      <c r="D148" s="4" t="s">
        <v>408</v>
      </c>
      <c r="E148" s="5" t="s">
        <v>409</v>
      </c>
      <c r="F148" s="2">
        <f t="shared" si="2"/>
        <v>11</v>
      </c>
    </row>
    <row r="149" spans="1:6" ht="28" x14ac:dyDescent="0.2">
      <c r="A149" s="6">
        <v>148</v>
      </c>
      <c r="B149" s="7" t="s">
        <v>397</v>
      </c>
      <c r="C149" s="8" t="s">
        <v>410</v>
      </c>
      <c r="D149" s="8" t="s">
        <v>411</v>
      </c>
      <c r="E149" s="9" t="s">
        <v>412</v>
      </c>
      <c r="F149" s="6">
        <f t="shared" si="2"/>
        <v>19</v>
      </c>
    </row>
    <row r="150" spans="1:6" ht="28" x14ac:dyDescent="0.2">
      <c r="A150" s="2">
        <v>149</v>
      </c>
      <c r="B150" s="3" t="s">
        <v>397</v>
      </c>
      <c r="C150" s="4" t="s">
        <v>413</v>
      </c>
      <c r="D150" s="4" t="s">
        <v>414</v>
      </c>
      <c r="E150" s="5" t="s">
        <v>415</v>
      </c>
      <c r="F150" s="2">
        <f t="shared" si="2"/>
        <v>19</v>
      </c>
    </row>
    <row r="151" spans="1:6" ht="28" x14ac:dyDescent="0.2">
      <c r="A151" s="6">
        <v>150</v>
      </c>
      <c r="B151" s="7" t="s">
        <v>397</v>
      </c>
      <c r="C151" s="8" t="s">
        <v>416</v>
      </c>
      <c r="D151" s="8" t="s">
        <v>417</v>
      </c>
      <c r="E151" s="9" t="s">
        <v>418</v>
      </c>
      <c r="F151" s="6">
        <f t="shared" si="2"/>
        <v>15</v>
      </c>
    </row>
    <row r="152" spans="1:6" ht="28" x14ac:dyDescent="0.2">
      <c r="A152" s="2">
        <v>151</v>
      </c>
      <c r="B152" s="3" t="s">
        <v>397</v>
      </c>
      <c r="C152" s="4" t="s">
        <v>419</v>
      </c>
      <c r="D152" s="4" t="s">
        <v>420</v>
      </c>
      <c r="E152" s="5" t="s">
        <v>421</v>
      </c>
      <c r="F152" s="2">
        <f t="shared" si="2"/>
        <v>18</v>
      </c>
    </row>
    <row r="153" spans="1:6" ht="28" x14ac:dyDescent="0.2">
      <c r="A153" s="6">
        <v>152</v>
      </c>
      <c r="B153" s="7" t="s">
        <v>397</v>
      </c>
      <c r="C153" s="8" t="s">
        <v>422</v>
      </c>
      <c r="D153" s="8" t="s">
        <v>423</v>
      </c>
      <c r="E153" s="9" t="s">
        <v>424</v>
      </c>
      <c r="F153" s="6">
        <f t="shared" si="2"/>
        <v>13</v>
      </c>
    </row>
    <row r="154" spans="1:6" x14ac:dyDescent="0.2">
      <c r="A154" s="2">
        <v>153</v>
      </c>
      <c r="B154" s="3" t="s">
        <v>397</v>
      </c>
      <c r="C154" s="4" t="s">
        <v>425</v>
      </c>
      <c r="D154" s="4" t="s">
        <v>426</v>
      </c>
      <c r="E154" s="5" t="s">
        <v>427</v>
      </c>
      <c r="F154" s="2">
        <f t="shared" si="2"/>
        <v>10</v>
      </c>
    </row>
    <row r="155" spans="1:6" x14ac:dyDescent="0.2">
      <c r="A155" s="6">
        <v>154</v>
      </c>
      <c r="B155" s="7" t="s">
        <v>397</v>
      </c>
      <c r="C155" s="8" t="s">
        <v>428</v>
      </c>
      <c r="D155" s="8" t="s">
        <v>429</v>
      </c>
      <c r="E155" s="9" t="s">
        <v>430</v>
      </c>
      <c r="F155" s="6">
        <f t="shared" si="2"/>
        <v>12</v>
      </c>
    </row>
    <row r="156" spans="1:6" ht="28" x14ac:dyDescent="0.2">
      <c r="A156" s="2">
        <v>155</v>
      </c>
      <c r="B156" s="3" t="s">
        <v>397</v>
      </c>
      <c r="C156" s="4" t="s">
        <v>431</v>
      </c>
      <c r="D156" s="4" t="s">
        <v>432</v>
      </c>
      <c r="E156" s="5" t="s">
        <v>433</v>
      </c>
      <c r="F156" s="2">
        <f t="shared" si="2"/>
        <v>18</v>
      </c>
    </row>
    <row r="157" spans="1:6" ht="28" x14ac:dyDescent="0.2">
      <c r="A157" s="6">
        <v>156</v>
      </c>
      <c r="B157" s="7" t="s">
        <v>397</v>
      </c>
      <c r="C157" s="8" t="s">
        <v>434</v>
      </c>
      <c r="D157" s="8" t="s">
        <v>435</v>
      </c>
      <c r="E157" s="9" t="s">
        <v>436</v>
      </c>
      <c r="F157" s="6">
        <f t="shared" si="2"/>
        <v>23</v>
      </c>
    </row>
    <row r="158" spans="1:6" ht="28" x14ac:dyDescent="0.2">
      <c r="A158" s="2">
        <v>157</v>
      </c>
      <c r="B158" s="3" t="s">
        <v>397</v>
      </c>
      <c r="C158" s="4" t="s">
        <v>437</v>
      </c>
      <c r="D158" s="4" t="s">
        <v>438</v>
      </c>
      <c r="E158" s="5" t="s">
        <v>439</v>
      </c>
      <c r="F158" s="2">
        <f t="shared" si="2"/>
        <v>16</v>
      </c>
    </row>
    <row r="159" spans="1:6" ht="28" x14ac:dyDescent="0.2">
      <c r="A159" s="6">
        <v>158</v>
      </c>
      <c r="B159" s="7" t="s">
        <v>397</v>
      </c>
      <c r="C159" s="8" t="s">
        <v>440</v>
      </c>
      <c r="D159" s="8" t="s">
        <v>441</v>
      </c>
      <c r="E159" s="9" t="s">
        <v>442</v>
      </c>
      <c r="F159" s="6">
        <f t="shared" si="2"/>
        <v>16</v>
      </c>
    </row>
    <row r="160" spans="1:6" ht="28" x14ac:dyDescent="0.2">
      <c r="A160" s="2">
        <v>159</v>
      </c>
      <c r="B160" s="3" t="s">
        <v>397</v>
      </c>
      <c r="C160" s="4" t="s">
        <v>443</v>
      </c>
      <c r="D160" s="4" t="s">
        <v>444</v>
      </c>
      <c r="E160" s="5" t="s">
        <v>445</v>
      </c>
      <c r="F160" s="2">
        <f t="shared" si="2"/>
        <v>21</v>
      </c>
    </row>
    <row r="161" spans="1:6" ht="28" x14ac:dyDescent="0.2">
      <c r="A161" s="6">
        <v>160</v>
      </c>
      <c r="B161" s="7" t="s">
        <v>397</v>
      </c>
      <c r="C161" s="8" t="s">
        <v>446</v>
      </c>
      <c r="D161" s="8" t="s">
        <v>447</v>
      </c>
      <c r="E161" s="9" t="s">
        <v>448</v>
      </c>
      <c r="F161" s="6">
        <f t="shared" si="2"/>
        <v>28</v>
      </c>
    </row>
    <row r="162" spans="1:6" ht="28" x14ac:dyDescent="0.2">
      <c r="A162" s="2">
        <v>161</v>
      </c>
      <c r="B162" s="3" t="s">
        <v>397</v>
      </c>
      <c r="C162" s="4" t="s">
        <v>449</v>
      </c>
      <c r="D162" s="4" t="s">
        <v>450</v>
      </c>
      <c r="E162" s="5" t="s">
        <v>451</v>
      </c>
      <c r="F162" s="2">
        <f t="shared" si="2"/>
        <v>19</v>
      </c>
    </row>
    <row r="163" spans="1:6" ht="28" x14ac:dyDescent="0.2">
      <c r="A163" s="6">
        <v>162</v>
      </c>
      <c r="B163" s="7" t="s">
        <v>397</v>
      </c>
      <c r="C163" s="8" t="s">
        <v>452</v>
      </c>
      <c r="D163" s="8" t="s">
        <v>453</v>
      </c>
      <c r="E163" s="9" t="s">
        <v>454</v>
      </c>
      <c r="F163" s="6">
        <f t="shared" si="2"/>
        <v>24</v>
      </c>
    </row>
    <row r="164" spans="1:6" ht="28" x14ac:dyDescent="0.2">
      <c r="A164" s="2">
        <v>163</v>
      </c>
      <c r="B164" s="3" t="s">
        <v>397</v>
      </c>
      <c r="C164" s="4" t="s">
        <v>455</v>
      </c>
      <c r="D164" s="4" t="s">
        <v>456</v>
      </c>
      <c r="E164" s="5" t="s">
        <v>454</v>
      </c>
      <c r="F164" s="2">
        <f t="shared" si="2"/>
        <v>14</v>
      </c>
    </row>
    <row r="165" spans="1:6" ht="28" x14ac:dyDescent="0.2">
      <c r="A165" s="6">
        <v>164</v>
      </c>
      <c r="B165" s="7" t="s">
        <v>397</v>
      </c>
      <c r="C165" s="8" t="s">
        <v>457</v>
      </c>
      <c r="D165" s="8" t="s">
        <v>458</v>
      </c>
      <c r="E165" s="9" t="s">
        <v>454</v>
      </c>
      <c r="F165" s="6">
        <f t="shared" si="2"/>
        <v>17</v>
      </c>
    </row>
    <row r="166" spans="1:6" ht="28" x14ac:dyDescent="0.2">
      <c r="A166" s="2">
        <v>165</v>
      </c>
      <c r="B166" s="3" t="s">
        <v>459</v>
      </c>
      <c r="C166" s="4" t="s">
        <v>460</v>
      </c>
      <c r="D166" s="4" t="s">
        <v>461</v>
      </c>
      <c r="E166" s="5" t="s">
        <v>462</v>
      </c>
      <c r="F166" s="2">
        <f t="shared" si="2"/>
        <v>22</v>
      </c>
    </row>
    <row r="167" spans="1:6" ht="28" x14ac:dyDescent="0.2">
      <c r="A167" s="6">
        <v>166</v>
      </c>
      <c r="B167" s="7" t="s">
        <v>459</v>
      </c>
      <c r="C167" s="8" t="s">
        <v>463</v>
      </c>
      <c r="D167" s="8" t="s">
        <v>464</v>
      </c>
      <c r="E167" s="9" t="s">
        <v>462</v>
      </c>
      <c r="F167" s="6">
        <f t="shared" si="2"/>
        <v>25</v>
      </c>
    </row>
    <row r="168" spans="1:6" ht="28" x14ac:dyDescent="0.2">
      <c r="A168" s="2">
        <v>167</v>
      </c>
      <c r="B168" s="3" t="s">
        <v>459</v>
      </c>
      <c r="C168" s="4" t="s">
        <v>465</v>
      </c>
      <c r="D168" s="4" t="s">
        <v>466</v>
      </c>
      <c r="E168" s="5" t="s">
        <v>462</v>
      </c>
      <c r="F168" s="2">
        <f t="shared" si="2"/>
        <v>15</v>
      </c>
    </row>
    <row r="169" spans="1:6" ht="28" x14ac:dyDescent="0.2">
      <c r="A169" s="6">
        <v>168</v>
      </c>
      <c r="B169" s="7" t="s">
        <v>459</v>
      </c>
      <c r="C169" s="8" t="s">
        <v>467</v>
      </c>
      <c r="D169" s="8" t="s">
        <v>468</v>
      </c>
      <c r="E169" s="9" t="s">
        <v>469</v>
      </c>
      <c r="F169" s="6">
        <f t="shared" si="2"/>
        <v>27</v>
      </c>
    </row>
    <row r="170" spans="1:6" ht="28" x14ac:dyDescent="0.2">
      <c r="A170" s="2">
        <v>169</v>
      </c>
      <c r="B170" s="3" t="s">
        <v>459</v>
      </c>
      <c r="C170" s="4" t="s">
        <v>470</v>
      </c>
      <c r="D170" s="4" t="s">
        <v>471</v>
      </c>
      <c r="E170" s="5" t="s">
        <v>472</v>
      </c>
      <c r="F170" s="2">
        <f t="shared" si="2"/>
        <v>22</v>
      </c>
    </row>
    <row r="171" spans="1:6" ht="28" x14ac:dyDescent="0.2">
      <c r="A171" s="6">
        <v>170</v>
      </c>
      <c r="B171" s="7" t="s">
        <v>473</v>
      </c>
      <c r="C171" s="8" t="s">
        <v>474</v>
      </c>
      <c r="D171" s="8" t="s">
        <v>475</v>
      </c>
      <c r="E171" s="9" t="s">
        <v>476</v>
      </c>
      <c r="F171" s="6">
        <f t="shared" si="2"/>
        <v>23</v>
      </c>
    </row>
    <row r="172" spans="1:6" ht="28" x14ac:dyDescent="0.2">
      <c r="A172" s="2">
        <v>171</v>
      </c>
      <c r="B172" s="3" t="s">
        <v>473</v>
      </c>
      <c r="C172" s="4" t="s">
        <v>477</v>
      </c>
      <c r="D172" s="4" t="s">
        <v>478</v>
      </c>
      <c r="E172" s="5" t="s">
        <v>479</v>
      </c>
      <c r="F172" s="2">
        <f t="shared" si="2"/>
        <v>27</v>
      </c>
    </row>
    <row r="173" spans="1:6" ht="28" x14ac:dyDescent="0.2">
      <c r="A173" s="6">
        <v>172</v>
      </c>
      <c r="B173" s="7" t="s">
        <v>473</v>
      </c>
      <c r="C173" s="8" t="s">
        <v>480</v>
      </c>
      <c r="D173" s="8" t="s">
        <v>481</v>
      </c>
      <c r="E173" s="9" t="s">
        <v>479</v>
      </c>
      <c r="F173" s="6">
        <f t="shared" si="2"/>
        <v>18</v>
      </c>
    </row>
    <row r="174" spans="1:6" ht="28" x14ac:dyDescent="0.2">
      <c r="A174" s="2">
        <v>173</v>
      </c>
      <c r="B174" s="3" t="s">
        <v>473</v>
      </c>
      <c r="C174" s="4" t="s">
        <v>482</v>
      </c>
      <c r="D174" s="4" t="s">
        <v>483</v>
      </c>
      <c r="E174" s="5" t="s">
        <v>484</v>
      </c>
      <c r="F174" s="2">
        <f t="shared" si="2"/>
        <v>20</v>
      </c>
    </row>
    <row r="175" spans="1:6" x14ac:dyDescent="0.2">
      <c r="A175" s="6">
        <v>174</v>
      </c>
      <c r="B175" s="7" t="s">
        <v>473</v>
      </c>
      <c r="C175" s="8" t="s">
        <v>485</v>
      </c>
      <c r="D175" s="8" t="s">
        <v>486</v>
      </c>
      <c r="E175" s="9" t="s">
        <v>484</v>
      </c>
      <c r="F175" s="6">
        <f t="shared" si="2"/>
        <v>8</v>
      </c>
    </row>
    <row r="176" spans="1:6" ht="28" x14ac:dyDescent="0.2">
      <c r="A176" s="2">
        <v>175</v>
      </c>
      <c r="B176" s="3" t="s">
        <v>473</v>
      </c>
      <c r="C176" s="4" t="s">
        <v>487</v>
      </c>
      <c r="D176" s="4" t="s">
        <v>488</v>
      </c>
      <c r="E176" s="5" t="s">
        <v>484</v>
      </c>
      <c r="F176" s="2">
        <f t="shared" si="2"/>
        <v>16</v>
      </c>
    </row>
    <row r="177" spans="1:6" ht="28" x14ac:dyDescent="0.2">
      <c r="A177" s="6">
        <v>176</v>
      </c>
      <c r="B177" s="7" t="s">
        <v>473</v>
      </c>
      <c r="C177" s="8" t="s">
        <v>489</v>
      </c>
      <c r="D177" s="8" t="s">
        <v>490</v>
      </c>
      <c r="E177" s="9" t="s">
        <v>484</v>
      </c>
      <c r="F177" s="6">
        <f t="shared" si="2"/>
        <v>21</v>
      </c>
    </row>
    <row r="178" spans="1:6" ht="28" x14ac:dyDescent="0.2">
      <c r="A178" s="2">
        <v>177</v>
      </c>
      <c r="B178" s="3" t="s">
        <v>473</v>
      </c>
      <c r="C178" s="4" t="s">
        <v>491</v>
      </c>
      <c r="D178" s="4" t="s">
        <v>492</v>
      </c>
      <c r="E178" s="5" t="s">
        <v>493</v>
      </c>
      <c r="F178" s="2">
        <f t="shared" si="2"/>
        <v>18</v>
      </c>
    </row>
    <row r="179" spans="1:6" x14ac:dyDescent="0.2">
      <c r="A179" s="6">
        <v>178</v>
      </c>
      <c r="B179" s="7" t="s">
        <v>473</v>
      </c>
      <c r="C179" s="8" t="s">
        <v>494</v>
      </c>
      <c r="D179" s="8" t="s">
        <v>495</v>
      </c>
      <c r="E179" s="9" t="s">
        <v>493</v>
      </c>
      <c r="F179" s="6">
        <f t="shared" si="2"/>
        <v>11</v>
      </c>
    </row>
    <row r="180" spans="1:6" ht="28" x14ac:dyDescent="0.2">
      <c r="A180" s="2">
        <v>179</v>
      </c>
      <c r="B180" s="3" t="s">
        <v>473</v>
      </c>
      <c r="C180" s="4" t="s">
        <v>496</v>
      </c>
      <c r="D180" s="4" t="s">
        <v>497</v>
      </c>
      <c r="E180" s="5" t="s">
        <v>498</v>
      </c>
      <c r="F180" s="2">
        <f t="shared" si="2"/>
        <v>19</v>
      </c>
    </row>
    <row r="181" spans="1:6" ht="28" x14ac:dyDescent="0.2">
      <c r="A181" s="6">
        <v>180</v>
      </c>
      <c r="B181" s="7" t="s">
        <v>473</v>
      </c>
      <c r="C181" s="8" t="s">
        <v>499</v>
      </c>
      <c r="D181" s="8" t="s">
        <v>500</v>
      </c>
      <c r="E181" s="9" t="s">
        <v>501</v>
      </c>
      <c r="F181" s="6">
        <f t="shared" si="2"/>
        <v>17</v>
      </c>
    </row>
    <row r="182" spans="1:6" ht="28" x14ac:dyDescent="0.2">
      <c r="A182" s="2">
        <v>181</v>
      </c>
      <c r="B182" s="3" t="s">
        <v>473</v>
      </c>
      <c r="C182" s="4" t="s">
        <v>502</v>
      </c>
      <c r="D182" s="4" t="s">
        <v>503</v>
      </c>
      <c r="E182" s="5" t="s">
        <v>504</v>
      </c>
      <c r="F182" s="2">
        <f t="shared" si="2"/>
        <v>24</v>
      </c>
    </row>
    <row r="183" spans="1:6" ht="28" x14ac:dyDescent="0.2">
      <c r="A183" s="6">
        <v>182</v>
      </c>
      <c r="B183" s="7" t="s">
        <v>473</v>
      </c>
      <c r="C183" s="8" t="s">
        <v>505</v>
      </c>
      <c r="D183" s="8" t="s">
        <v>506</v>
      </c>
      <c r="E183" s="9" t="s">
        <v>507</v>
      </c>
      <c r="F183" s="6">
        <f t="shared" si="2"/>
        <v>17</v>
      </c>
    </row>
    <row r="184" spans="1:6" ht="28" x14ac:dyDescent="0.2">
      <c r="A184" s="2">
        <v>183</v>
      </c>
      <c r="B184" s="3" t="s">
        <v>473</v>
      </c>
      <c r="C184" s="4" t="s">
        <v>508</v>
      </c>
      <c r="D184" s="4" t="s">
        <v>509</v>
      </c>
      <c r="E184" s="5" t="s">
        <v>510</v>
      </c>
      <c r="F184" s="2">
        <f t="shared" si="2"/>
        <v>17</v>
      </c>
    </row>
    <row r="185" spans="1:6" x14ac:dyDescent="0.2">
      <c r="A185" s="6">
        <v>184</v>
      </c>
      <c r="B185" s="7" t="s">
        <v>511</v>
      </c>
      <c r="C185" s="8" t="s">
        <v>512</v>
      </c>
      <c r="D185" s="8" t="s">
        <v>513</v>
      </c>
      <c r="E185" s="9" t="s">
        <v>514</v>
      </c>
      <c r="F185" s="6">
        <f t="shared" si="2"/>
        <v>8</v>
      </c>
    </row>
    <row r="186" spans="1:6" ht="28" x14ac:dyDescent="0.2">
      <c r="A186" s="2">
        <v>185</v>
      </c>
      <c r="B186" s="3" t="s">
        <v>511</v>
      </c>
      <c r="C186" s="4" t="s">
        <v>515</v>
      </c>
      <c r="D186" s="4" t="s">
        <v>516</v>
      </c>
      <c r="E186" s="5" t="s">
        <v>514</v>
      </c>
      <c r="F186" s="2">
        <f t="shared" si="2"/>
        <v>24</v>
      </c>
    </row>
    <row r="187" spans="1:6" ht="28" x14ac:dyDescent="0.2">
      <c r="A187" s="6">
        <v>186</v>
      </c>
      <c r="B187" s="7" t="s">
        <v>511</v>
      </c>
      <c r="C187" s="8" t="s">
        <v>517</v>
      </c>
      <c r="D187" s="8" t="s">
        <v>518</v>
      </c>
      <c r="E187" s="9" t="s">
        <v>519</v>
      </c>
      <c r="F187" s="6">
        <f t="shared" si="2"/>
        <v>13</v>
      </c>
    </row>
    <row r="188" spans="1:6" x14ac:dyDescent="0.2">
      <c r="A188" s="2">
        <v>187</v>
      </c>
      <c r="B188" s="3" t="s">
        <v>511</v>
      </c>
      <c r="C188" s="4" t="s">
        <v>520</v>
      </c>
      <c r="D188" s="4" t="s">
        <v>521</v>
      </c>
      <c r="E188" s="5" t="s">
        <v>519</v>
      </c>
      <c r="F188" s="2">
        <f t="shared" si="2"/>
        <v>9</v>
      </c>
    </row>
    <row r="189" spans="1:6" ht="28" x14ac:dyDescent="0.2">
      <c r="A189" s="6">
        <v>188</v>
      </c>
      <c r="B189" s="7" t="s">
        <v>511</v>
      </c>
      <c r="C189" s="8" t="s">
        <v>522</v>
      </c>
      <c r="D189" s="8" t="s">
        <v>523</v>
      </c>
      <c r="E189" s="9" t="s">
        <v>524</v>
      </c>
      <c r="F189" s="6">
        <f t="shared" si="2"/>
        <v>20</v>
      </c>
    </row>
    <row r="190" spans="1:6" ht="28" x14ac:dyDescent="0.2">
      <c r="A190" s="2">
        <v>189</v>
      </c>
      <c r="B190" s="3" t="s">
        <v>511</v>
      </c>
      <c r="C190" s="4" t="s">
        <v>525</v>
      </c>
      <c r="D190" s="4" t="s">
        <v>526</v>
      </c>
      <c r="E190" s="5" t="s">
        <v>519</v>
      </c>
      <c r="F190" s="2">
        <f t="shared" si="2"/>
        <v>15</v>
      </c>
    </row>
    <row r="191" spans="1:6" ht="28" x14ac:dyDescent="0.2">
      <c r="A191" s="6">
        <v>190</v>
      </c>
      <c r="B191" s="7" t="s">
        <v>511</v>
      </c>
      <c r="C191" s="8" t="s">
        <v>527</v>
      </c>
      <c r="D191" s="8" t="s">
        <v>528</v>
      </c>
      <c r="E191" s="9" t="s">
        <v>529</v>
      </c>
      <c r="F191" s="6">
        <f t="shared" si="2"/>
        <v>16</v>
      </c>
    </row>
    <row r="192" spans="1:6" ht="28" x14ac:dyDescent="0.2">
      <c r="A192" s="2">
        <v>191</v>
      </c>
      <c r="B192" s="3" t="s">
        <v>530</v>
      </c>
      <c r="C192" s="4" t="s">
        <v>531</v>
      </c>
      <c r="D192" s="4" t="s">
        <v>532</v>
      </c>
      <c r="E192" s="5" t="s">
        <v>533</v>
      </c>
      <c r="F192" s="2">
        <f t="shared" si="2"/>
        <v>25</v>
      </c>
    </row>
    <row r="193" spans="1:6" ht="28" x14ac:dyDescent="0.2">
      <c r="A193" s="6">
        <v>192</v>
      </c>
      <c r="B193" s="7" t="s">
        <v>530</v>
      </c>
      <c r="C193" s="8" t="s">
        <v>534</v>
      </c>
      <c r="D193" s="8" t="s">
        <v>535</v>
      </c>
      <c r="E193" s="9" t="s">
        <v>536</v>
      </c>
      <c r="F193" s="6">
        <f t="shared" si="2"/>
        <v>28</v>
      </c>
    </row>
    <row r="194" spans="1:6" ht="28" x14ac:dyDescent="0.2">
      <c r="A194" s="2">
        <v>193</v>
      </c>
      <c r="B194" s="3" t="s">
        <v>530</v>
      </c>
      <c r="C194" s="4" t="s">
        <v>537</v>
      </c>
      <c r="D194" s="4" t="s">
        <v>538</v>
      </c>
      <c r="E194" s="5" t="s">
        <v>186</v>
      </c>
      <c r="F194" s="2">
        <f t="shared" ref="F194:F209" si="3">IF(D194="",0,LEN(TRIM(D194))-LEN(SUBSTITUTE(TRIM(D194)," ",""))+1)</f>
        <v>19</v>
      </c>
    </row>
    <row r="195" spans="1:6" ht="28" x14ac:dyDescent="0.2">
      <c r="A195" s="6">
        <v>194</v>
      </c>
      <c r="B195" s="7" t="s">
        <v>530</v>
      </c>
      <c r="C195" s="8" t="s">
        <v>539</v>
      </c>
      <c r="D195" s="8" t="s">
        <v>540</v>
      </c>
      <c r="E195" s="9" t="s">
        <v>541</v>
      </c>
      <c r="F195" s="6">
        <f t="shared" si="3"/>
        <v>25</v>
      </c>
    </row>
    <row r="196" spans="1:6" ht="28" x14ac:dyDescent="0.2">
      <c r="A196" s="2">
        <v>195</v>
      </c>
      <c r="B196" s="3" t="s">
        <v>530</v>
      </c>
      <c r="C196" s="4" t="s">
        <v>542</v>
      </c>
      <c r="D196" s="4" t="s">
        <v>543</v>
      </c>
      <c r="E196" s="5" t="s">
        <v>544</v>
      </c>
      <c r="F196" s="2">
        <f t="shared" si="3"/>
        <v>20</v>
      </c>
    </row>
    <row r="197" spans="1:6" ht="28" x14ac:dyDescent="0.2">
      <c r="A197" s="6">
        <v>196</v>
      </c>
      <c r="B197" s="7" t="s">
        <v>530</v>
      </c>
      <c r="C197" s="8" t="s">
        <v>545</v>
      </c>
      <c r="D197" s="8" t="s">
        <v>546</v>
      </c>
      <c r="E197" s="9" t="s">
        <v>547</v>
      </c>
      <c r="F197" s="6">
        <f t="shared" si="3"/>
        <v>24</v>
      </c>
    </row>
    <row r="198" spans="1:6" ht="28" x14ac:dyDescent="0.2">
      <c r="A198" s="2">
        <v>197</v>
      </c>
      <c r="B198" s="3" t="s">
        <v>530</v>
      </c>
      <c r="C198" s="4" t="s">
        <v>548</v>
      </c>
      <c r="D198" s="4" t="s">
        <v>549</v>
      </c>
      <c r="E198" s="5" t="s">
        <v>550</v>
      </c>
      <c r="F198" s="2">
        <f t="shared" si="3"/>
        <v>19</v>
      </c>
    </row>
    <row r="199" spans="1:6" ht="28" x14ac:dyDescent="0.2">
      <c r="A199" s="6">
        <v>198</v>
      </c>
      <c r="B199" s="7" t="s">
        <v>530</v>
      </c>
      <c r="C199" s="8" t="s">
        <v>551</v>
      </c>
      <c r="D199" s="8" t="s">
        <v>552</v>
      </c>
      <c r="E199" s="9" t="s">
        <v>553</v>
      </c>
      <c r="F199" s="6">
        <f t="shared" si="3"/>
        <v>20</v>
      </c>
    </row>
    <row r="200" spans="1:6" ht="28" x14ac:dyDescent="0.2">
      <c r="A200" s="2">
        <v>199</v>
      </c>
      <c r="B200" s="3" t="s">
        <v>530</v>
      </c>
      <c r="C200" s="4" t="s">
        <v>554</v>
      </c>
      <c r="D200" s="4" t="s">
        <v>555</v>
      </c>
      <c r="E200" s="5" t="s">
        <v>556</v>
      </c>
      <c r="F200" s="2">
        <f t="shared" si="3"/>
        <v>21</v>
      </c>
    </row>
    <row r="201" spans="1:6" ht="28" x14ac:dyDescent="0.2">
      <c r="A201" s="6">
        <v>200</v>
      </c>
      <c r="B201" s="7" t="s">
        <v>530</v>
      </c>
      <c r="C201" s="8" t="s">
        <v>557</v>
      </c>
      <c r="D201" s="8" t="s">
        <v>558</v>
      </c>
      <c r="E201" s="9" t="s">
        <v>559</v>
      </c>
      <c r="F201" s="6">
        <f t="shared" si="3"/>
        <v>24</v>
      </c>
    </row>
    <row r="202" spans="1:6" ht="28" x14ac:dyDescent="0.2">
      <c r="A202" s="2">
        <v>201</v>
      </c>
      <c r="B202" s="3" t="s">
        <v>530</v>
      </c>
      <c r="C202" s="4" t="s">
        <v>560</v>
      </c>
      <c r="D202" s="4" t="s">
        <v>561</v>
      </c>
      <c r="E202" s="5" t="s">
        <v>562</v>
      </c>
      <c r="F202" s="2">
        <f t="shared" si="3"/>
        <v>21</v>
      </c>
    </row>
    <row r="203" spans="1:6" ht="28" x14ac:dyDescent="0.2">
      <c r="A203" s="6">
        <v>202</v>
      </c>
      <c r="B203" s="7" t="s">
        <v>530</v>
      </c>
      <c r="C203" s="8" t="s">
        <v>563</v>
      </c>
      <c r="D203" s="8" t="s">
        <v>564</v>
      </c>
      <c r="E203" s="9" t="s">
        <v>216</v>
      </c>
      <c r="F203" s="6">
        <f t="shared" si="3"/>
        <v>25</v>
      </c>
    </row>
    <row r="204" spans="1:6" ht="28" x14ac:dyDescent="0.2">
      <c r="A204" s="2">
        <v>203</v>
      </c>
      <c r="B204" s="3" t="s">
        <v>530</v>
      </c>
      <c r="C204" s="4" t="s">
        <v>565</v>
      </c>
      <c r="D204" s="4" t="s">
        <v>566</v>
      </c>
      <c r="E204" s="5" t="s">
        <v>567</v>
      </c>
      <c r="F204" s="2">
        <f t="shared" si="3"/>
        <v>20</v>
      </c>
    </row>
    <row r="205" spans="1:6" ht="28" x14ac:dyDescent="0.2">
      <c r="A205" s="6">
        <v>204</v>
      </c>
      <c r="B205" s="7" t="s">
        <v>530</v>
      </c>
      <c r="C205" s="8" t="s">
        <v>568</v>
      </c>
      <c r="D205" s="8" t="s">
        <v>569</v>
      </c>
      <c r="E205" s="9" t="s">
        <v>570</v>
      </c>
      <c r="F205" s="6">
        <f t="shared" si="3"/>
        <v>19</v>
      </c>
    </row>
    <row r="206" spans="1:6" ht="28" x14ac:dyDescent="0.2">
      <c r="A206" s="2">
        <v>205</v>
      </c>
      <c r="B206" s="3" t="s">
        <v>530</v>
      </c>
      <c r="C206" s="4" t="s">
        <v>571</v>
      </c>
      <c r="D206" s="4" t="s">
        <v>572</v>
      </c>
      <c r="E206" s="5" t="s">
        <v>573</v>
      </c>
      <c r="F206" s="2">
        <f t="shared" si="3"/>
        <v>16</v>
      </c>
    </row>
    <row r="207" spans="1:6" ht="28" x14ac:dyDescent="0.2">
      <c r="A207" s="6">
        <v>206</v>
      </c>
      <c r="B207" s="7" t="s">
        <v>530</v>
      </c>
      <c r="C207" s="8" t="s">
        <v>574</v>
      </c>
      <c r="D207" s="8" t="s">
        <v>575</v>
      </c>
      <c r="E207" s="9" t="s">
        <v>576</v>
      </c>
      <c r="F207" s="6">
        <f t="shared" si="3"/>
        <v>22</v>
      </c>
    </row>
    <row r="208" spans="1:6" ht="28" x14ac:dyDescent="0.2">
      <c r="A208" s="2">
        <v>207</v>
      </c>
      <c r="B208" s="3" t="s">
        <v>530</v>
      </c>
      <c r="C208" s="4" t="s">
        <v>577</v>
      </c>
      <c r="D208" s="4" t="s">
        <v>578</v>
      </c>
      <c r="E208" s="5" t="s">
        <v>579</v>
      </c>
      <c r="F208" s="2">
        <f t="shared" si="3"/>
        <v>20</v>
      </c>
    </row>
    <row r="209" spans="1:6" ht="28" x14ac:dyDescent="0.2">
      <c r="A209" s="6">
        <v>208</v>
      </c>
      <c r="B209" s="7" t="s">
        <v>530</v>
      </c>
      <c r="C209" s="8" t="s">
        <v>580</v>
      </c>
      <c r="D209" s="8" t="s">
        <v>581</v>
      </c>
      <c r="E209" s="9" t="s">
        <v>582</v>
      </c>
      <c r="F209" s="6">
        <f t="shared" si="3"/>
        <v>22</v>
      </c>
    </row>
  </sheetData>
  <autoFilter ref="A1:F20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12" customWidth="1"/>
    <col min="3" max="3" width="11" customWidth="1"/>
    <col min="4" max="4" width="70" customWidth="1"/>
  </cols>
  <sheetData>
    <row r="1" spans="1:4" ht="19" x14ac:dyDescent="0.2">
      <c r="A1" s="10" t="s">
        <v>583</v>
      </c>
    </row>
    <row r="2" spans="1:4" x14ac:dyDescent="0.2">
      <c r="A2" s="11" t="s">
        <v>584</v>
      </c>
    </row>
    <row r="3" spans="1:4" x14ac:dyDescent="0.2">
      <c r="A3" s="11" t="s">
        <v>585</v>
      </c>
    </row>
    <row r="4" spans="1:4" x14ac:dyDescent="0.2">
      <c r="A4" s="11" t="s">
        <v>586</v>
      </c>
    </row>
    <row r="6" spans="1:4" x14ac:dyDescent="0.2">
      <c r="A6" s="1" t="s">
        <v>1</v>
      </c>
      <c r="B6" s="1" t="s">
        <v>587</v>
      </c>
      <c r="C6" s="1" t="s">
        <v>588</v>
      </c>
      <c r="D6" s="1" t="s">
        <v>589</v>
      </c>
    </row>
    <row r="7" spans="1:4" x14ac:dyDescent="0.2">
      <c r="A7" s="12" t="s">
        <v>6</v>
      </c>
      <c r="B7" s="2">
        <v>20</v>
      </c>
      <c r="C7" s="2">
        <v>1</v>
      </c>
      <c r="D7" s="4" t="s">
        <v>590</v>
      </c>
    </row>
    <row r="8" spans="1:4" x14ac:dyDescent="0.2">
      <c r="A8" s="12" t="s">
        <v>56</v>
      </c>
      <c r="B8" s="2">
        <v>14</v>
      </c>
      <c r="C8" s="2">
        <v>21</v>
      </c>
      <c r="D8" s="4" t="s">
        <v>591</v>
      </c>
    </row>
    <row r="9" spans="1:4" x14ac:dyDescent="0.2">
      <c r="A9" s="12" t="s">
        <v>94</v>
      </c>
      <c r="B9" s="2">
        <v>7</v>
      </c>
      <c r="C9" s="2">
        <v>35</v>
      </c>
      <c r="D9" s="4" t="s">
        <v>592</v>
      </c>
    </row>
    <row r="10" spans="1:4" x14ac:dyDescent="0.2">
      <c r="A10" s="12" t="s">
        <v>112</v>
      </c>
      <c r="B10" s="2">
        <v>22</v>
      </c>
      <c r="C10" s="2">
        <v>42</v>
      </c>
      <c r="D10" s="4" t="s">
        <v>593</v>
      </c>
    </row>
    <row r="11" spans="1:4" x14ac:dyDescent="0.2">
      <c r="A11" s="12" t="s">
        <v>174</v>
      </c>
      <c r="B11" s="2">
        <v>7</v>
      </c>
      <c r="C11" s="2">
        <v>64</v>
      </c>
      <c r="D11" s="4" t="s">
        <v>594</v>
      </c>
    </row>
    <row r="12" spans="1:4" x14ac:dyDescent="0.2">
      <c r="A12" s="12" t="s">
        <v>196</v>
      </c>
      <c r="B12" s="2">
        <v>15</v>
      </c>
      <c r="C12" s="2">
        <v>71</v>
      </c>
      <c r="D12" s="4" t="s">
        <v>595</v>
      </c>
    </row>
    <row r="13" spans="1:4" x14ac:dyDescent="0.2">
      <c r="A13" s="12" t="s">
        <v>240</v>
      </c>
      <c r="B13" s="2">
        <v>17</v>
      </c>
      <c r="C13" s="2">
        <v>86</v>
      </c>
      <c r="D13" s="4" t="s">
        <v>596</v>
      </c>
    </row>
    <row r="14" spans="1:4" x14ac:dyDescent="0.2">
      <c r="A14" s="12" t="s">
        <v>286</v>
      </c>
      <c r="B14" s="2">
        <v>12</v>
      </c>
      <c r="C14" s="2">
        <v>103</v>
      </c>
      <c r="D14" s="4" t="s">
        <v>597</v>
      </c>
    </row>
    <row r="15" spans="1:4" x14ac:dyDescent="0.2">
      <c r="A15" s="12" t="s">
        <v>320</v>
      </c>
      <c r="B15" s="2">
        <v>18</v>
      </c>
      <c r="C15" s="2">
        <v>115</v>
      </c>
      <c r="D15" s="4" t="s">
        <v>598</v>
      </c>
    </row>
    <row r="16" spans="1:4" x14ac:dyDescent="0.2">
      <c r="A16" s="12" t="s">
        <v>369</v>
      </c>
      <c r="B16" s="2">
        <v>11</v>
      </c>
      <c r="C16" s="2">
        <v>133</v>
      </c>
      <c r="D16" s="4" t="s">
        <v>599</v>
      </c>
    </row>
    <row r="17" spans="1:4" x14ac:dyDescent="0.2">
      <c r="A17" s="12" t="s">
        <v>397</v>
      </c>
      <c r="B17" s="2">
        <v>21</v>
      </c>
      <c r="C17" s="2">
        <v>144</v>
      </c>
      <c r="D17" s="4" t="s">
        <v>600</v>
      </c>
    </row>
    <row r="18" spans="1:4" x14ac:dyDescent="0.2">
      <c r="A18" s="12" t="s">
        <v>459</v>
      </c>
      <c r="B18" s="2">
        <v>5</v>
      </c>
      <c r="C18" s="2">
        <v>165</v>
      </c>
      <c r="D18" s="4" t="s">
        <v>601</v>
      </c>
    </row>
    <row r="19" spans="1:4" x14ac:dyDescent="0.2">
      <c r="A19" s="12" t="s">
        <v>473</v>
      </c>
      <c r="B19" s="2">
        <v>14</v>
      </c>
      <c r="C19" s="2">
        <v>170</v>
      </c>
      <c r="D19" s="4" t="s">
        <v>602</v>
      </c>
    </row>
    <row r="20" spans="1:4" x14ac:dyDescent="0.2">
      <c r="A20" s="12" t="s">
        <v>511</v>
      </c>
      <c r="B20" s="2">
        <v>7</v>
      </c>
      <c r="C20" s="2">
        <v>184</v>
      </c>
      <c r="D20" s="4" t="s">
        <v>603</v>
      </c>
    </row>
    <row r="21" spans="1:4" x14ac:dyDescent="0.2">
      <c r="A21" s="12" t="s">
        <v>530</v>
      </c>
      <c r="B21" s="2">
        <v>18</v>
      </c>
      <c r="C21" s="2">
        <v>191</v>
      </c>
      <c r="D21" s="4" t="s">
        <v>604</v>
      </c>
    </row>
    <row r="22" spans="1:4" x14ac:dyDescent="0.2">
      <c r="A22" s="13" t="s">
        <v>605</v>
      </c>
      <c r="B22" s="14">
        <f>SUM(B7:B21)</f>
        <v>208</v>
      </c>
      <c r="C22" s="15"/>
      <c r="D22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Q&amp;A Bank</vt:lpstr>
      <vt:lpstr>Category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Evangelos Angelidis</cp:lastModifiedBy>
  <cp:revision>0</cp:revision>
  <dcterms:created xsi:type="dcterms:W3CDTF">2026-09-15T16:19:17Z</dcterms:created>
  <dcterms:modified xsi:type="dcterms:W3CDTF">2026-09-15T22:44:27Z</dcterms:modified>
  <dc:language>en-US</dc:language>
</cp:coreProperties>
</file>